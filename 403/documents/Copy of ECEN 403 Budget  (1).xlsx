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<sst xmlns="http://schemas.openxmlformats.org/spreadsheetml/2006/main" count="265" uniqueCount="170">
  <si>
    <t>Components Cost</t>
  </si>
  <si>
    <t>Mouser #</t>
  </si>
  <si>
    <t>Mfr. #</t>
  </si>
  <si>
    <t>Manufacturer</t>
  </si>
  <si>
    <t>Customer #</t>
  </si>
  <si>
    <t>Description</t>
  </si>
  <si>
    <t>RoHS</t>
  </si>
  <si>
    <t>Lifecycle</t>
  </si>
  <si>
    <t>Order Qty.</t>
  </si>
  <si>
    <t>Price (USD)</t>
  </si>
  <si>
    <t>Ext.: (USD)</t>
  </si>
  <si>
    <t>Estimated Tariff Price (USD)</t>
  </si>
  <si>
    <t>Estimated Tariff Ext. (USD)</t>
  </si>
  <si>
    <t>595-TPS566238RQFR</t>
  </si>
  <si>
    <t>TPS566238RQFR</t>
  </si>
  <si>
    <t>Texas Instruments</t>
  </si>
  <si>
    <t>Switching Voltage Regulators 3-V to 18-V input 6 -A synchronous step-</t>
  </si>
  <si>
    <t>RoHS Compliant</t>
  </si>
  <si>
    <t>595-TPS563209DDCR</t>
  </si>
  <si>
    <t>TPS563209DDCR</t>
  </si>
  <si>
    <t>Switching Voltage Regulators 17 V Input 3A SOT-2 3 6-SOT -40to85 A 595-TPS563209DDCT</t>
  </si>
  <si>
    <t>781-SIR426DP-GE3</t>
  </si>
  <si>
    <t>SIR426DP-T1-GE3</t>
  </si>
  <si>
    <t>Vishay</t>
  </si>
  <si>
    <t>MOSFETs 40V Vds 20V Vgs PowerPAK SO-8</t>
  </si>
  <si>
    <t>RoHS Compliant By Exemption</t>
  </si>
  <si>
    <t>637-BAT54C</t>
  </si>
  <si>
    <t>BAT54C</t>
  </si>
  <si>
    <t>Diotec Semiconductor</t>
  </si>
  <si>
    <t>Schottky Diodes &amp; Rectifiers Schottky, SOT-23, 30V, 0.2A</t>
  </si>
  <si>
    <t>863-MBRS540T3G</t>
  </si>
  <si>
    <t>MBRS540T3G</t>
  </si>
  <si>
    <t>onsemi</t>
  </si>
  <si>
    <t>Schottky Diodes &amp; Rectifiers 5A 40V</t>
  </si>
  <si>
    <t>71-WSL2010-0.01-E3</t>
  </si>
  <si>
    <t>WSL2010R0100FEB</t>
  </si>
  <si>
    <t>Current Sense Resistors - SMD 1/2watt .01ohms 1%</t>
  </si>
  <si>
    <t>595-BQ24600RVAR</t>
  </si>
  <si>
    <t>BQ24600RVAR</t>
  </si>
  <si>
    <t>Battery Management Standalone Synch Sw- mode Charge Cntrlr A 595-BQ24600RVAT</t>
  </si>
  <si>
    <t>954-103AT-2</t>
  </si>
  <si>
    <t>103AT-2</t>
  </si>
  <si>
    <t>Semitec</t>
  </si>
  <si>
    <t>NTC Thermistors 10kohm 1%</t>
  </si>
  <si>
    <t>70-IHLP2525CZR3R3M8A</t>
  </si>
  <si>
    <t>IHLP2525CZER3R3M8A</t>
  </si>
  <si>
    <t>Power Inductors - SMD 3.3uH 20%</t>
  </si>
  <si>
    <t>963-GMJ316BB7106KLHT</t>
  </si>
  <si>
    <t>GMJ316BB7106KLHT</t>
  </si>
  <si>
    <t>TAIYO YUDEN</t>
  </si>
  <si>
    <t>Multilayer Ceramic Capacitors MLCC - SMD/SMT 963-MCJCG31LBB7106KT RPLCMT PN 35V 10uF X7R 1206 AEC-Q200</t>
  </si>
  <si>
    <t>963-MLASE168SB7105KT</t>
  </si>
  <si>
    <t>MLASE168SB7105KTNA01</t>
  </si>
  <si>
    <t>Multilayer Ceramic Capacitors MLCC - SMD/SMT 16V 1uF X7R 0603 10% Medical</t>
  </si>
  <si>
    <t>603-AC1206KKX7R9BB22</t>
  </si>
  <si>
    <t>AC1206KKX7R9BB225</t>
  </si>
  <si>
    <t>YAGEO</t>
  </si>
  <si>
    <t>Multilayer Ceramic Capacitors MLCC - SMD/SMT 50V 2.2uF X7R 1206 10% AEC-Q200 HI CV</t>
  </si>
  <si>
    <t>810-C1608X7R1H105K08</t>
  </si>
  <si>
    <t>C1608X7R1H105K080AB</t>
  </si>
  <si>
    <t>TDK</t>
  </si>
  <si>
    <t>Multilayer Ceramic Capacitors MLCC - SMD/SMT Commercial Grade,MLCC,0603,X7R,50V,1uF,+/-10%,0.8mm</t>
  </si>
  <si>
    <t>New Product</t>
  </si>
  <si>
    <t>603-CC402KRX7R7BB104</t>
  </si>
  <si>
    <t>CC0402KRX7R7BB104</t>
  </si>
  <si>
    <t>Multilayer Ceramic Capacitors MLCC - SMD/SMT 16 V 0.1uF X7R 0402 10%</t>
  </si>
  <si>
    <t>581-04025C220KAT2A</t>
  </si>
  <si>
    <t>04025C220KAT2A</t>
  </si>
  <si>
    <t>KYOCERA AVX</t>
  </si>
  <si>
    <t>Multilayer Ceramic Capacitors MLCC - SMD/SMT 50V 22pF X7R 0402 10 %</t>
  </si>
  <si>
    <t>963-MAJCU168BB7104KT</t>
  </si>
  <si>
    <t>MAJCU168BB7104KTEA01</t>
  </si>
  <si>
    <t>Multilayer Ceramic Capacitors MLCC - SMD/SMT 50V 0.1uF 0603 X7R 10% AECQ2</t>
  </si>
  <si>
    <t>652-SRN8040-2R2Y</t>
  </si>
  <si>
    <t>SRN8040-2R2Y</t>
  </si>
  <si>
    <t>Bourns</t>
  </si>
  <si>
    <t>Power Inductors - SMD 2.2uH 30% SMD 8040</t>
  </si>
  <si>
    <t>708-RMCF2512JT2R00</t>
  </si>
  <si>
    <t>RMCF2512JT2R00</t>
  </si>
  <si>
    <t>SEI Stackpole</t>
  </si>
  <si>
    <t>Thick Film Resistors - SMD 2Ohms 2512 1W 5% Std Power AEC-Q200</t>
  </si>
  <si>
    <t>71-CRCW251210R0JNGIF</t>
  </si>
  <si>
    <t>CRCW251210R0JNEGIF</t>
  </si>
  <si>
    <t>Thick Film Resistors - SMD CRCW2512-IF 200 10R 5% E67 e3</t>
  </si>
  <si>
    <t>754-RR0816P-101D</t>
  </si>
  <si>
    <t>RR0816P-101-D</t>
  </si>
  <si>
    <t>Susumu</t>
  </si>
  <si>
    <t>Thin Film Resistors - SMD 1/16W 100ohm 0.5% 25ppm</t>
  </si>
  <si>
    <t>603-RT0603BRD0741K7L</t>
  </si>
  <si>
    <t>RT0603BRD0741K7L</t>
  </si>
  <si>
    <t>Thin Film Resistors - SMD 41.7 kOhms 25PPM/C 100mW 0603 10%</t>
  </si>
  <si>
    <t>75-M55342K11B10E0RS3</t>
  </si>
  <si>
    <t>M55342K11B10E0RS3</t>
  </si>
  <si>
    <t>Thick Film Resistors - SMD 0402 10K 1%</t>
  </si>
  <si>
    <t>No</t>
  </si>
  <si>
    <t>754-RR0816P-304D</t>
  </si>
  <si>
    <t>RR0816P-304-D</t>
  </si>
  <si>
    <t>Thin Film Resistors - SMD 1/16W 300Kohm 0.5% 25ppm</t>
  </si>
  <si>
    <t>754-RR0816P-104D</t>
  </si>
  <si>
    <t>RR0816P-104-D</t>
  </si>
  <si>
    <t>Thin Film Resistors - SMD 1/16W 100Kohm 0.5% 25ppm</t>
  </si>
  <si>
    <t>708-RMCF0402FT9K31</t>
  </si>
  <si>
    <t>RMCF0402FT9K31</t>
  </si>
  <si>
    <t>Thick Film Resistors - SMD 9.31KOhms 0402 0.0625W 1% Std Power AEC-Q200</t>
  </si>
  <si>
    <t>603-RC0402FR-07442KL</t>
  </si>
  <si>
    <t>RC0402FR-07442KL</t>
  </si>
  <si>
    <t>Thick Film Resistors - SMD General Purpose Chip Resistor 0402, 442kOhms, 1%, 1/16W</t>
  </si>
  <si>
    <t>71-WSL2010R0100FEA18</t>
  </si>
  <si>
    <t>WSL2010R0100FEA18</t>
  </si>
  <si>
    <t>Current Sense Resistors - SMD 1watt .01ohms 1%</t>
  </si>
  <si>
    <t>708-RMCF2512JT10R0</t>
  </si>
  <si>
    <t>RMCF2512JT10R0</t>
  </si>
  <si>
    <t>Thick Film Resistors - SMD 10Ohms 2512 1W 5% Std Power AEC-Q200</t>
  </si>
  <si>
    <t>667-ERJ-S02F3322X</t>
  </si>
  <si>
    <t>ERJ-S02F3322X</t>
  </si>
  <si>
    <t>Panasonic</t>
  </si>
  <si>
    <t>Thick Film Resistors - SMD 0402 33.2Kohms 1% Anti-Sulfur</t>
  </si>
  <si>
    <t>603-RC0603FR-07220KL</t>
  </si>
  <si>
    <t>RC0603FR-07220KL</t>
  </si>
  <si>
    <t>Thick Film Resistors - SMD General Purpose Chip Resistor 0603, 220kOhms, 1%, 1/10W</t>
  </si>
  <si>
    <t>81-GRM188R60J226ME0D</t>
  </si>
  <si>
    <t>GRM188R60J226MEA0D</t>
  </si>
  <si>
    <t>Murata</t>
  </si>
  <si>
    <t>Multilayer Ceramic Capacitors MLCC - SMD/SMT 22 uF 6.3 VDC 20% 0603 X5R</t>
  </si>
  <si>
    <t>581-08053C104K</t>
  </si>
  <si>
    <t>08053C104KAT2A</t>
  </si>
  <si>
    <t>Multilayer Ceramic Capacitors MLCC - SMD/SMT KGM21NR71E104KT NEW GLOBAL PN 25V 0.1uF A 581-KGM21NR71E104KT</t>
  </si>
  <si>
    <t>963-MSAST219LB5106KT</t>
  </si>
  <si>
    <t>MSAST219LB5106KTNA01</t>
  </si>
  <si>
    <t>Multilayer Ceramic Capacitors MLCC - SMD/SMT 25V 10uF X5R 0805 10%</t>
  </si>
  <si>
    <t>963-MAJCH168BB7104KT</t>
  </si>
  <si>
    <t>MAJCH168BB7104KTEA01</t>
  </si>
  <si>
    <t>Multilayer Ceramic Capacitors MLCC - SMD/SMT 100V 0.1uF 0603 X7R 10% AECQ2</t>
  </si>
  <si>
    <t>963-LMK212BJ226MG-T</t>
  </si>
  <si>
    <t>LMK212BJ226MG-T</t>
  </si>
  <si>
    <t>Multilayer Ceramic Capacitors MLCC - SMD/SMT 10V 22uF X5R 0805 20 %</t>
  </si>
  <si>
    <t>581-06033A330JAT2A</t>
  </si>
  <si>
    <t>06033A330JAT2A</t>
  </si>
  <si>
    <t>Multilayer Ceramic Capacitors MLCC - SMD/SMT KGM15ACG1E330JT NEW GLOBAL PN 25V 33pF C A 581-KGM15ACG1E330JT</t>
  </si>
  <si>
    <t>81-GRM36X103K16</t>
  </si>
  <si>
    <t>GRM155R71C103KA01D</t>
  </si>
  <si>
    <t>Multilayer Ceramic Capacitors MLCC - SMD/SMT 0.01 uF 16 VDC 10% 0402 X7R</t>
  </si>
  <si>
    <t>963-EMK107B7105KA-T</t>
  </si>
  <si>
    <t>EMK107B7105KA-T</t>
  </si>
  <si>
    <t>Multilayer Ceramic Capacitors MLCC - SMD/SMT 963-MSASE168SB7105KT RPLCMT PN 16V 1uF X7R 0603 10%</t>
  </si>
  <si>
    <t>Merchandise:</t>
  </si>
  <si>
    <t>Shipping Charge:</t>
  </si>
  <si>
    <t>Estimated Tariff:</t>
  </si>
  <si>
    <t>Battery Cost</t>
  </si>
  <si>
    <t>Qty.</t>
  </si>
  <si>
    <t>Total Price</t>
  </si>
  <si>
    <r>
      <rPr>
        <rFont val="Calibri"/>
        <color rgb="FF1155CC"/>
        <sz val="11.0"/>
        <u/>
      </rPr>
      <t>Samsung 50S 21700 5000mAh 25A Battery</t>
    </r>
  </si>
  <si>
    <t>SBC Cost</t>
  </si>
  <si>
    <t>https://www.digikey.com/en/products/detail/raspberry-pi/SC1432/21658257</t>
  </si>
  <si>
    <t>https://www.digikey.com/en/products/detail/raspberry-pi/SC1153/21658276</t>
  </si>
  <si>
    <t>https://www.digikey.com/en/products/detail/mikroelektronika/MIKROE-5172/16528243</t>
  </si>
  <si>
    <t>https://www.digikey.com/en/products/detail/raspberry-pi/SC0546/13901220</t>
  </si>
  <si>
    <t>Mouser Order</t>
  </si>
  <si>
    <t>595-TPS56A37RPAR</t>
  </si>
  <si>
    <t>TPS56A37RPAR</t>
  </si>
  <si>
    <t>Switching Voltage Regulators 4.5V to 28V input 1 0A synchronous buck</t>
  </si>
  <si>
    <t>667-ERA-6AEB6983V</t>
  </si>
  <si>
    <t>ERA-6AEB6983V</t>
  </si>
  <si>
    <t>Thin Film Resistors - SMD 0805 698Kohm 0.1% 25ppm</t>
  </si>
  <si>
    <t>358-SC1148</t>
  </si>
  <si>
    <t>SC1148</t>
  </si>
  <si>
    <t>Raspberry Pi</t>
  </si>
  <si>
    <t>Heat Sinks Raspberry Pi Active Cooler</t>
  </si>
  <si>
    <t>E-outstanding Right Angle Power Jack 2PCS 90 Degree Angle 5.5x2.1mm Female Jack to 5.5x2.1mm Male Plug Adapter DC Barrel Charging Cable Connector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</si>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</sst>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9">
    <font>
      <sz val="10.0"/>
      <color rgb="FF000000"/>
      <name val="Arial"/>
      <scheme val="minor"/>
    </font>
    <font>
      <sz val="11.0"/>
      <color rgb="FF000000"/>
      <name val="Calibri"/>
    </font>
    <font>
      <b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b/>
      <color theme="1"/>
      <name val="Arial"/>
      <scheme val="minor"/>
    </font>
    <font>
      <sz val="11.0"/>
      <color theme="1"/>
      <name val="Calibri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E0E4E9"/>
        <bgColor rgb="FFE0E4E9"/>
      </patternFill>
    </fill>
    <fill>
      <patternFill patternType="solid">
        <fgColor rgb="FFB5E6A2"/>
        <bgColor rgb="FFB5E6A2"/>
      </patternFill>
    </fill>
    <fill>
      <patternFill patternType="solid">
        <fgColor rgb="FFD9D9D9"/>
        <bgColor rgb="FFD9D9D9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2" fontId="2" numFmtId="0" xfId="0" applyAlignment="1" applyBorder="1" applyFill="1" applyFont="1">
      <alignment shrinkToFit="0" vertical="bottom" wrapText="0"/>
    </xf>
    <xf borderId="2" fillId="2" fontId="2" numFmtId="0" xfId="0" applyAlignment="1" applyBorder="1" applyFont="1">
      <alignment readingOrder="0" shrinkToFit="0" vertical="bottom" wrapText="0"/>
    </xf>
    <xf borderId="2" fillId="2" fontId="2" numFmtId="164" xfId="0" applyAlignment="1" applyBorder="1" applyFont="1" applyNumberFormat="1">
      <alignment readingOrder="0" shrinkToFit="0" vertical="bottom" wrapText="0"/>
    </xf>
    <xf borderId="2" fillId="3" fontId="2" numFmtId="164" xfId="0" applyAlignment="1" applyBorder="1" applyFill="1" applyFont="1" applyNumberFormat="1">
      <alignment readingOrder="0" shrinkToFit="0" vertical="bottom" wrapText="0"/>
    </xf>
    <xf borderId="3" fillId="3" fontId="2" numFmtId="164" xfId="0" applyAlignment="1" applyBorder="1" applyFont="1" applyNumberFormat="1">
      <alignment readingOrder="0" shrinkToFit="0" vertical="bottom" wrapText="0"/>
    </xf>
    <xf borderId="4" fillId="0" fontId="1" numFmtId="0" xfId="0" applyAlignment="1" applyBorder="1" applyFont="1">
      <alignment horizontal="right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3" fontId="1" numFmtId="164" xfId="0" applyAlignment="1" applyFont="1" applyNumberFormat="1">
      <alignment horizontal="left" readingOrder="0" shrinkToFit="0" vertical="bottom" wrapText="0"/>
    </xf>
    <xf borderId="5" fillId="3" fontId="1" numFmtId="164" xfId="0" applyAlignment="1" applyBorder="1" applyFont="1" applyNumberFormat="1">
      <alignment horizontal="left" readingOrder="0" shrinkToFit="0" vertical="bottom" wrapText="0"/>
    </xf>
    <xf borderId="0" fillId="3" fontId="1" numFmtId="164" xfId="0" applyAlignment="1" applyFont="1" applyNumberFormat="1">
      <alignment shrinkToFit="0" vertical="bottom" wrapText="0"/>
    </xf>
    <xf borderId="5" fillId="3" fontId="1" numFmtId="164" xfId="0" applyAlignment="1" applyBorder="1" applyFont="1" applyNumberFormat="1">
      <alignment shrinkToFit="0" vertical="bottom" wrapText="0"/>
    </xf>
    <xf borderId="0" fillId="3" fontId="1" numFmtId="0" xfId="0" applyAlignment="1" applyFont="1">
      <alignment shrinkToFit="0" vertical="bottom" wrapText="0"/>
    </xf>
    <xf borderId="5" fillId="3" fontId="1" numFmtId="0" xfId="0" applyAlignment="1" applyBorder="1" applyFont="1">
      <alignment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4" fontId="2" numFmtId="0" xfId="0" applyAlignment="1" applyFill="1" applyFont="1">
      <alignment readingOrder="0" shrinkToFit="0" vertical="bottom" wrapText="0"/>
    </xf>
    <xf borderId="5" fillId="4" fontId="1" numFmtId="164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4" fontId="2" numFmtId="0" xfId="0" applyAlignment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4" fontId="2" numFmtId="0" xfId="0" applyAlignment="1" applyBorder="1" applyFont="1">
      <alignment readingOrder="0" shrinkToFit="0" vertical="bottom" wrapText="0"/>
    </xf>
    <xf borderId="8" fillId="4" fontId="1" numFmtId="164" xfId="0" applyAlignment="1" applyBorder="1" applyFont="1" applyNumberFormat="1">
      <alignment horizontal="right" readingOrder="0" shrinkToFit="0" vertical="bottom" wrapText="0"/>
    </xf>
    <xf borderId="0" fillId="0" fontId="2" numFmtId="0" xfId="0" applyAlignment="1" applyFont="1">
      <alignment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2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shrinkToFit="0" vertical="bottom" wrapText="0"/>
    </xf>
    <xf borderId="3" fillId="0" fontId="1" numFmtId="0" xfId="0" applyAlignment="1" applyBorder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7" fillId="4" fontId="2" numFmtId="0" xfId="0" applyAlignment="1" applyBorder="1" applyFont="1">
      <alignment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2" fillId="0" fontId="2" numFmtId="0" xfId="0" applyAlignment="1" applyBorder="1" applyFont="1">
      <alignment shrinkToFit="0" vertical="bottom" wrapText="0"/>
    </xf>
    <xf borderId="7" fillId="0" fontId="2" numFmtId="0" xfId="0" applyAlignment="1" applyBorder="1" applyFont="1">
      <alignment shrinkToFit="0" vertical="bottom" wrapText="0"/>
    </xf>
    <xf borderId="8" fillId="0" fontId="1" numFmtId="164" xfId="0" applyAlignment="1" applyBorder="1" applyFont="1" applyNumberFormat="1">
      <alignment horizontal="right"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164" xfId="0" applyAlignment="1" applyFont="1" applyNumberForma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7" fillId="0" fontId="5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164" xfId="0" applyAlignment="1" applyBorder="1" applyFont="1" applyNumberFormat="1">
      <alignment readingOrder="0" shrinkToFit="0" vertical="bottom" wrapText="0"/>
    </xf>
    <xf borderId="7" fillId="0" fontId="1" numFmtId="164" xfId="0" applyAlignment="1" applyBorder="1" applyFont="1" applyNumberFormat="1">
      <alignment shrinkToFit="0" vertical="bottom" wrapText="0"/>
    </xf>
    <xf borderId="0" fillId="0" fontId="6" numFmtId="0" xfId="0" applyAlignment="1" applyFont="1">
      <alignment readingOrder="0"/>
    </xf>
    <xf borderId="0" fillId="3" fontId="1" numFmtId="0" xfId="0" applyAlignment="1" applyFont="1">
      <alignment shrinkToFit="0" vertical="bottom" wrapText="0"/>
    </xf>
    <xf borderId="0" fillId="2" fontId="2" numFmtId="0" xfId="0" applyAlignment="1" applyFont="1">
      <alignment readingOrder="0" shrinkToFit="0" vertical="bottom" wrapText="0"/>
    </xf>
    <xf borderId="0" fillId="2" fontId="1" numFmtId="164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18650batterystore.com/products/samsung-50s-21700-5000mah-25a-battery?variant=42183459897495" TargetMode="External"/><Relationship Id="rId2" Type="http://schemas.openxmlformats.org/officeDocument/2006/relationships/hyperlink" Target="https://www.digikey.com/en/products/detail/raspberry-pi/SC1432/21658257" TargetMode="External"/><Relationship Id="rId3" Type="http://schemas.openxmlformats.org/officeDocument/2006/relationships/hyperlink" Target="https://www.digikey.com/en/products/detail/raspberry-pi/SC1153/21658276" TargetMode="External"/><Relationship Id="rId4" Type="http://schemas.openxmlformats.org/officeDocument/2006/relationships/hyperlink" Target="https://www.digikey.com/en/products/detail/mikroelektronika/MIKROE-5172/16528243" TargetMode="External"/><Relationship Id="rId5" Type="http://schemas.openxmlformats.org/officeDocument/2006/relationships/hyperlink" Target="https://www.digikey.com/en/products/detail/raspberry-pi/SC0546/13901220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6" max="6" width="93.75"/>
  </cols>
  <sheetData>
    <row r="1">
      <c r="A1" s="1"/>
      <c r="B1" s="1"/>
      <c r="C1" s="1"/>
      <c r="D1" s="1"/>
      <c r="E1" s="2"/>
      <c r="F1" s="1"/>
      <c r="G1" s="1"/>
      <c r="H1" s="2"/>
      <c r="I1" s="1"/>
      <c r="J1" s="3"/>
      <c r="K1" s="3"/>
      <c r="L1" s="3"/>
      <c r="M1" s="3"/>
    </row>
    <row r="2">
      <c r="A2" s="1"/>
      <c r="B2" s="4" t="s">
        <v>0</v>
      </c>
      <c r="C2" s="1"/>
      <c r="D2" s="1"/>
      <c r="E2" s="2"/>
      <c r="F2" s="1"/>
      <c r="G2" s="1"/>
      <c r="H2" s="2"/>
      <c r="I2" s="1"/>
      <c r="J2" s="3"/>
      <c r="K2" s="3"/>
      <c r="L2" s="3"/>
      <c r="M2" s="3"/>
    </row>
    <row r="3">
      <c r="A3" s="5"/>
      <c r="B3" s="6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7" t="s">
        <v>9</v>
      </c>
      <c r="K3" s="7" t="s">
        <v>10</v>
      </c>
      <c r="L3" s="8" t="s">
        <v>11</v>
      </c>
      <c r="M3" s="9" t="s">
        <v>12</v>
      </c>
    </row>
    <row r="4">
      <c r="A4" s="10">
        <v>1.0</v>
      </c>
      <c r="B4" s="11" t="s">
        <v>13</v>
      </c>
      <c r="C4" s="11" t="s">
        <v>14</v>
      </c>
      <c r="D4" s="11" t="s">
        <v>15</v>
      </c>
      <c r="E4" s="2"/>
      <c r="F4" s="11" t="s">
        <v>16</v>
      </c>
      <c r="G4" s="11" t="s">
        <v>17</v>
      </c>
      <c r="H4" s="2"/>
      <c r="I4" s="12">
        <v>3.0</v>
      </c>
      <c r="J4" s="13">
        <v>0.96</v>
      </c>
      <c r="K4" s="13">
        <v>2.88</v>
      </c>
      <c r="L4" s="14">
        <v>0.54</v>
      </c>
      <c r="M4" s="15">
        <v>1.61</v>
      </c>
    </row>
    <row r="5">
      <c r="A5" s="10">
        <v>2.0</v>
      </c>
      <c r="B5" s="11" t="s">
        <v>18</v>
      </c>
      <c r="C5" s="11" t="s">
        <v>19</v>
      </c>
      <c r="D5" s="11" t="s">
        <v>15</v>
      </c>
      <c r="E5" s="2"/>
      <c r="F5" s="11" t="s">
        <v>20</v>
      </c>
      <c r="G5" s="11" t="s">
        <v>17</v>
      </c>
      <c r="H5" s="1"/>
      <c r="I5" s="12">
        <v>3.0</v>
      </c>
      <c r="J5" s="13">
        <v>1.02</v>
      </c>
      <c r="K5" s="13">
        <v>3.06</v>
      </c>
      <c r="L5" s="14">
        <v>0.57</v>
      </c>
      <c r="M5" s="15">
        <v>1.71</v>
      </c>
    </row>
    <row r="6">
      <c r="A6" s="10">
        <v>3.0</v>
      </c>
      <c r="B6" s="11" t="s">
        <v>21</v>
      </c>
      <c r="C6" s="11" t="s">
        <v>22</v>
      </c>
      <c r="D6" s="11" t="s">
        <v>23</v>
      </c>
      <c r="E6" s="2"/>
      <c r="F6" s="11" t="s">
        <v>24</v>
      </c>
      <c r="G6" s="11" t="s">
        <v>25</v>
      </c>
      <c r="I6" s="12">
        <v>6.0</v>
      </c>
      <c r="J6" s="13">
        <v>1.26</v>
      </c>
      <c r="K6" s="13">
        <v>7.56</v>
      </c>
      <c r="L6" s="14">
        <v>0.71</v>
      </c>
      <c r="M6" s="15">
        <v>4.24</v>
      </c>
    </row>
    <row r="7">
      <c r="A7" s="10">
        <v>4.0</v>
      </c>
      <c r="B7" s="11" t="s">
        <v>26</v>
      </c>
      <c r="C7" s="11" t="s">
        <v>27</v>
      </c>
      <c r="D7" s="11" t="s">
        <v>28</v>
      </c>
      <c r="E7" s="2"/>
      <c r="F7" s="11" t="s">
        <v>29</v>
      </c>
      <c r="G7" s="11" t="s">
        <v>17</v>
      </c>
      <c r="H7" s="2"/>
      <c r="I7" s="12">
        <v>1.0</v>
      </c>
      <c r="J7" s="13">
        <v>0.12</v>
      </c>
      <c r="K7" s="13">
        <v>0.12</v>
      </c>
      <c r="L7" s="14">
        <v>0.07</v>
      </c>
      <c r="M7" s="15">
        <v>0.07</v>
      </c>
    </row>
    <row r="8">
      <c r="A8" s="10">
        <v>5.0</v>
      </c>
      <c r="B8" s="11" t="s">
        <v>30</v>
      </c>
      <c r="C8" s="11" t="s">
        <v>31</v>
      </c>
      <c r="D8" s="11" t="s">
        <v>32</v>
      </c>
      <c r="E8" s="2"/>
      <c r="F8" s="11" t="s">
        <v>33</v>
      </c>
      <c r="G8" s="11" t="s">
        <v>25</v>
      </c>
      <c r="I8" s="12">
        <v>3.0</v>
      </c>
      <c r="J8" s="13">
        <v>0.4</v>
      </c>
      <c r="K8" s="13">
        <v>1.2</v>
      </c>
      <c r="L8" s="14">
        <v>0.07</v>
      </c>
      <c r="M8" s="15">
        <v>0.2</v>
      </c>
    </row>
    <row r="9">
      <c r="A9" s="10">
        <v>6.0</v>
      </c>
      <c r="B9" s="11" t="s">
        <v>34</v>
      </c>
      <c r="C9" s="11" t="s">
        <v>35</v>
      </c>
      <c r="D9" s="11" t="s">
        <v>23</v>
      </c>
      <c r="E9" s="2"/>
      <c r="F9" s="11" t="s">
        <v>36</v>
      </c>
      <c r="G9" s="11" t="s">
        <v>17</v>
      </c>
      <c r="H9" s="2"/>
      <c r="I9" s="12">
        <v>3.0</v>
      </c>
      <c r="J9" s="13">
        <v>1.61</v>
      </c>
      <c r="K9" s="13">
        <v>4.83</v>
      </c>
      <c r="L9" s="16"/>
      <c r="M9" s="17"/>
    </row>
    <row r="10">
      <c r="A10" s="10">
        <v>7.0</v>
      </c>
      <c r="B10" s="11" t="s">
        <v>37</v>
      </c>
      <c r="C10" s="11" t="s">
        <v>38</v>
      </c>
      <c r="D10" s="11" t="s">
        <v>15</v>
      </c>
      <c r="E10" s="2"/>
      <c r="F10" s="11" t="s">
        <v>39</v>
      </c>
      <c r="G10" s="11" t="s">
        <v>17</v>
      </c>
      <c r="H10" s="2"/>
      <c r="I10" s="12">
        <v>3.0</v>
      </c>
      <c r="J10" s="13">
        <v>2.25</v>
      </c>
      <c r="K10" s="13">
        <v>6.75</v>
      </c>
      <c r="L10" s="18"/>
      <c r="M10" s="19"/>
    </row>
    <row r="11">
      <c r="A11" s="10">
        <v>8.0</v>
      </c>
      <c r="B11" s="11" t="s">
        <v>40</v>
      </c>
      <c r="C11" s="11" t="s">
        <v>41</v>
      </c>
      <c r="D11" s="11" t="s">
        <v>42</v>
      </c>
      <c r="E11" s="2"/>
      <c r="F11" s="11" t="s">
        <v>43</v>
      </c>
      <c r="G11" s="11" t="s">
        <v>25</v>
      </c>
      <c r="I11" s="12">
        <v>3.0</v>
      </c>
      <c r="J11" s="13">
        <v>0.58</v>
      </c>
      <c r="K11" s="13">
        <v>1.74</v>
      </c>
      <c r="L11" s="16"/>
      <c r="M11" s="17"/>
    </row>
    <row r="12">
      <c r="A12" s="10">
        <v>9.0</v>
      </c>
      <c r="B12" s="11" t="s">
        <v>44</v>
      </c>
      <c r="C12" s="11" t="s">
        <v>45</v>
      </c>
      <c r="D12" s="11" t="s">
        <v>23</v>
      </c>
      <c r="E12" s="2"/>
      <c r="F12" s="11" t="s">
        <v>46</v>
      </c>
      <c r="G12" s="11" t="s">
        <v>17</v>
      </c>
      <c r="H12" s="2"/>
      <c r="I12" s="12">
        <v>3.0</v>
      </c>
      <c r="J12" s="13">
        <v>1.06</v>
      </c>
      <c r="K12" s="13">
        <v>3.18</v>
      </c>
      <c r="L12" s="14">
        <v>0.6</v>
      </c>
      <c r="M12" s="15">
        <v>1.81</v>
      </c>
    </row>
    <row r="13">
      <c r="A13" s="10">
        <v>10.0</v>
      </c>
      <c r="B13" s="11" t="s">
        <v>47</v>
      </c>
      <c r="C13" s="11" t="s">
        <v>48</v>
      </c>
      <c r="D13" s="11" t="s">
        <v>49</v>
      </c>
      <c r="E13" s="2"/>
      <c r="F13" s="11" t="s">
        <v>50</v>
      </c>
      <c r="G13" s="11" t="s">
        <v>17</v>
      </c>
      <c r="H13" s="1"/>
      <c r="I13" s="12">
        <v>10.0</v>
      </c>
      <c r="J13" s="13">
        <v>0.461</v>
      </c>
      <c r="K13" s="13">
        <v>4.61</v>
      </c>
      <c r="L13" s="16"/>
      <c r="M13" s="17"/>
    </row>
    <row r="14">
      <c r="A14" s="10">
        <v>11.0</v>
      </c>
      <c r="B14" s="11" t="s">
        <v>51</v>
      </c>
      <c r="C14" s="11" t="s">
        <v>52</v>
      </c>
      <c r="D14" s="11" t="s">
        <v>49</v>
      </c>
      <c r="E14" s="2"/>
      <c r="F14" s="11" t="s">
        <v>53</v>
      </c>
      <c r="G14" s="11" t="s">
        <v>17</v>
      </c>
      <c r="H14" s="2"/>
      <c r="I14" s="12">
        <v>2.0</v>
      </c>
      <c r="J14" s="13">
        <v>0.11</v>
      </c>
      <c r="K14" s="13">
        <v>0.22</v>
      </c>
      <c r="L14" s="14">
        <v>0.05</v>
      </c>
      <c r="M14" s="15">
        <v>0.11</v>
      </c>
    </row>
    <row r="15">
      <c r="A15" s="10">
        <v>12.0</v>
      </c>
      <c r="B15" s="11" t="s">
        <v>54</v>
      </c>
      <c r="C15" s="11" t="s">
        <v>55</v>
      </c>
      <c r="D15" s="11" t="s">
        <v>56</v>
      </c>
      <c r="E15" s="2"/>
      <c r="F15" s="11" t="s">
        <v>57</v>
      </c>
      <c r="G15" s="11" t="s">
        <v>17</v>
      </c>
      <c r="H15" s="2"/>
      <c r="I15" s="12">
        <v>1.0</v>
      </c>
      <c r="J15" s="13">
        <v>0.78</v>
      </c>
      <c r="K15" s="13">
        <v>0.78</v>
      </c>
      <c r="L15" s="18"/>
      <c r="M15" s="19"/>
    </row>
    <row r="16">
      <c r="A16" s="10">
        <v>13.0</v>
      </c>
      <c r="B16" s="11" t="s">
        <v>58</v>
      </c>
      <c r="C16" s="11" t="s">
        <v>59</v>
      </c>
      <c r="D16" s="11" t="s">
        <v>60</v>
      </c>
      <c r="E16" s="2"/>
      <c r="F16" s="11" t="s">
        <v>61</v>
      </c>
      <c r="G16" s="11" t="s">
        <v>17</v>
      </c>
      <c r="H16" s="11" t="s">
        <v>62</v>
      </c>
      <c r="I16" s="12">
        <v>1.0</v>
      </c>
      <c r="J16" s="13">
        <v>0.23</v>
      </c>
      <c r="K16" s="13">
        <v>0.23</v>
      </c>
      <c r="L16" s="14">
        <v>0.04</v>
      </c>
      <c r="M16" s="15">
        <v>0.04</v>
      </c>
    </row>
    <row r="17">
      <c r="A17" s="10">
        <v>14.0</v>
      </c>
      <c r="B17" s="11" t="s">
        <v>63</v>
      </c>
      <c r="C17" s="11" t="s">
        <v>64</v>
      </c>
      <c r="D17" s="11" t="s">
        <v>56</v>
      </c>
      <c r="E17" s="2"/>
      <c r="F17" s="11" t="s">
        <v>65</v>
      </c>
      <c r="G17" s="11" t="s">
        <v>17</v>
      </c>
      <c r="H17" s="2"/>
      <c r="I17" s="12">
        <v>4.0</v>
      </c>
      <c r="J17" s="13">
        <v>0.1</v>
      </c>
      <c r="K17" s="13">
        <v>0.4</v>
      </c>
      <c r="L17" s="16"/>
      <c r="M17" s="17"/>
    </row>
    <row r="18">
      <c r="A18" s="10">
        <v>15.0</v>
      </c>
      <c r="B18" s="11" t="s">
        <v>66</v>
      </c>
      <c r="C18" s="11" t="s">
        <v>67</v>
      </c>
      <c r="D18" s="11" t="s">
        <v>68</v>
      </c>
      <c r="E18" s="2"/>
      <c r="F18" s="11" t="s">
        <v>69</v>
      </c>
      <c r="G18" s="11" t="s">
        <v>17</v>
      </c>
      <c r="H18" s="1"/>
      <c r="I18" s="12">
        <v>1.0</v>
      </c>
      <c r="J18" s="13">
        <v>0.27</v>
      </c>
      <c r="K18" s="13">
        <v>0.27</v>
      </c>
      <c r="L18" s="18"/>
      <c r="M18" s="19"/>
    </row>
    <row r="19">
      <c r="A19" s="10">
        <v>16.0</v>
      </c>
      <c r="B19" s="11" t="s">
        <v>70</v>
      </c>
      <c r="C19" s="11" t="s">
        <v>71</v>
      </c>
      <c r="D19" s="11" t="s">
        <v>49</v>
      </c>
      <c r="E19" s="2"/>
      <c r="F19" s="11" t="s">
        <v>72</v>
      </c>
      <c r="G19" s="11" t="s">
        <v>17</v>
      </c>
      <c r="H19" s="11" t="s">
        <v>62</v>
      </c>
      <c r="I19" s="12">
        <v>9.0</v>
      </c>
      <c r="J19" s="13">
        <v>0.11</v>
      </c>
      <c r="K19" s="13">
        <v>0.99</v>
      </c>
      <c r="L19" s="14">
        <v>0.02</v>
      </c>
      <c r="M19" s="15">
        <v>0.14</v>
      </c>
    </row>
    <row r="20">
      <c r="A20" s="10">
        <v>17.0</v>
      </c>
      <c r="B20" s="11" t="s">
        <v>73</v>
      </c>
      <c r="C20" s="11" t="s">
        <v>74</v>
      </c>
      <c r="D20" s="11" t="s">
        <v>75</v>
      </c>
      <c r="E20" s="2"/>
      <c r="F20" s="11" t="s">
        <v>76</v>
      </c>
      <c r="G20" s="11" t="s">
        <v>17</v>
      </c>
      <c r="H20" s="2"/>
      <c r="I20" s="12">
        <v>3.0</v>
      </c>
      <c r="J20" s="13">
        <v>0.53</v>
      </c>
      <c r="K20" s="13">
        <v>1.59</v>
      </c>
      <c r="L20" s="14">
        <v>0.14</v>
      </c>
      <c r="M20" s="15">
        <v>0.43</v>
      </c>
    </row>
    <row r="21">
      <c r="A21" s="10">
        <v>18.0</v>
      </c>
      <c r="B21" s="11" t="s">
        <v>77</v>
      </c>
      <c r="C21" s="11" t="s">
        <v>78</v>
      </c>
      <c r="D21" s="11" t="s">
        <v>79</v>
      </c>
      <c r="E21" s="2"/>
      <c r="F21" s="11" t="s">
        <v>80</v>
      </c>
      <c r="G21" s="11" t="s">
        <v>25</v>
      </c>
      <c r="I21" s="12">
        <v>2.0</v>
      </c>
      <c r="J21" s="13">
        <v>0.2</v>
      </c>
      <c r="K21" s="13">
        <v>0.4</v>
      </c>
      <c r="L21" s="16"/>
      <c r="M21" s="17"/>
    </row>
    <row r="22">
      <c r="A22" s="10">
        <v>19.0</v>
      </c>
      <c r="B22" s="11" t="s">
        <v>81</v>
      </c>
      <c r="C22" s="11" t="s">
        <v>82</v>
      </c>
      <c r="D22" s="11" t="s">
        <v>23</v>
      </c>
      <c r="E22" s="2"/>
      <c r="F22" s="11" t="s">
        <v>83</v>
      </c>
      <c r="G22" s="11" t="s">
        <v>17</v>
      </c>
      <c r="H22" s="11" t="s">
        <v>62</v>
      </c>
      <c r="I22" s="12">
        <v>6.0</v>
      </c>
      <c r="J22" s="13">
        <v>0.86</v>
      </c>
      <c r="K22" s="13">
        <v>5.16</v>
      </c>
      <c r="L22" s="14">
        <v>0.12</v>
      </c>
      <c r="M22" s="15">
        <v>0.72</v>
      </c>
    </row>
    <row r="23">
      <c r="A23" s="10">
        <v>20.0</v>
      </c>
      <c r="B23" s="11" t="s">
        <v>84</v>
      </c>
      <c r="C23" s="11" t="s">
        <v>85</v>
      </c>
      <c r="D23" s="11" t="s">
        <v>86</v>
      </c>
      <c r="E23" s="2"/>
      <c r="F23" s="11" t="s">
        <v>87</v>
      </c>
      <c r="G23" s="11" t="s">
        <v>17</v>
      </c>
      <c r="H23" s="2"/>
      <c r="I23" s="12">
        <v>9.0</v>
      </c>
      <c r="J23" s="13">
        <v>0.1</v>
      </c>
      <c r="K23" s="13">
        <v>0.9</v>
      </c>
      <c r="L23" s="16"/>
      <c r="M23" s="17"/>
    </row>
    <row r="24">
      <c r="A24" s="10">
        <v>21.0</v>
      </c>
      <c r="B24" s="11" t="s">
        <v>88</v>
      </c>
      <c r="C24" s="11" t="s">
        <v>89</v>
      </c>
      <c r="D24" s="11" t="s">
        <v>56</v>
      </c>
      <c r="E24" s="2"/>
      <c r="F24" s="11" t="s">
        <v>90</v>
      </c>
      <c r="G24" s="11" t="s">
        <v>25</v>
      </c>
      <c r="I24" s="12">
        <v>3.0</v>
      </c>
      <c r="J24" s="13">
        <v>0.14</v>
      </c>
      <c r="K24" s="13">
        <v>0.42</v>
      </c>
      <c r="L24" s="14">
        <v>0.05</v>
      </c>
      <c r="M24" s="15">
        <v>0.15</v>
      </c>
    </row>
    <row r="25">
      <c r="A25" s="10">
        <v>22.0</v>
      </c>
      <c r="B25" s="11" t="s">
        <v>91</v>
      </c>
      <c r="C25" s="11" t="s">
        <v>92</v>
      </c>
      <c r="D25" s="11" t="s">
        <v>23</v>
      </c>
      <c r="E25" s="2"/>
      <c r="F25" s="11" t="s">
        <v>93</v>
      </c>
      <c r="G25" s="11" t="s">
        <v>94</v>
      </c>
      <c r="H25" s="1"/>
      <c r="I25" s="12">
        <v>13.0</v>
      </c>
      <c r="J25" s="13">
        <v>0.934</v>
      </c>
      <c r="K25" s="13">
        <v>12.14</v>
      </c>
      <c r="L25" s="14">
        <v>0.13</v>
      </c>
      <c r="M25" s="15">
        <v>1.7</v>
      </c>
    </row>
    <row r="26">
      <c r="A26" s="10">
        <v>23.0</v>
      </c>
      <c r="B26" s="11" t="s">
        <v>95</v>
      </c>
      <c r="C26" s="11" t="s">
        <v>96</v>
      </c>
      <c r="D26" s="11" t="s">
        <v>86</v>
      </c>
      <c r="E26" s="2"/>
      <c r="F26" s="11" t="s">
        <v>97</v>
      </c>
      <c r="G26" s="11" t="s">
        <v>17</v>
      </c>
      <c r="H26" s="1"/>
      <c r="I26" s="12">
        <v>3.0</v>
      </c>
      <c r="J26" s="13">
        <v>0.1</v>
      </c>
      <c r="K26" s="13">
        <v>0.3</v>
      </c>
      <c r="L26" s="14">
        <v>0.01</v>
      </c>
      <c r="M26" s="15">
        <v>0.03</v>
      </c>
    </row>
    <row r="27">
      <c r="A27" s="10">
        <v>24.0</v>
      </c>
      <c r="B27" s="11" t="s">
        <v>98</v>
      </c>
      <c r="C27" s="11" t="s">
        <v>99</v>
      </c>
      <c r="D27" s="11" t="s">
        <v>86</v>
      </c>
      <c r="E27" s="2"/>
      <c r="F27" s="11" t="s">
        <v>100</v>
      </c>
      <c r="G27" s="11" t="s">
        <v>17</v>
      </c>
      <c r="H27" s="2"/>
      <c r="I27" s="12">
        <v>11.0</v>
      </c>
      <c r="J27" s="13">
        <v>0.023</v>
      </c>
      <c r="K27" s="13">
        <v>0.25</v>
      </c>
      <c r="L27" s="18"/>
      <c r="M27" s="19"/>
    </row>
    <row r="28">
      <c r="A28" s="10">
        <v>25.0</v>
      </c>
      <c r="B28" s="11" t="s">
        <v>101</v>
      </c>
      <c r="C28" s="11" t="s">
        <v>102</v>
      </c>
      <c r="D28" s="11" t="s">
        <v>79</v>
      </c>
      <c r="E28" s="2"/>
      <c r="F28" s="11" t="s">
        <v>103</v>
      </c>
      <c r="G28" s="11" t="s">
        <v>25</v>
      </c>
      <c r="I28" s="12">
        <v>6.0</v>
      </c>
      <c r="J28" s="13">
        <v>0.1</v>
      </c>
      <c r="K28" s="13">
        <v>0.6</v>
      </c>
      <c r="L28" s="14">
        <v>0.05</v>
      </c>
      <c r="M28" s="15">
        <v>0.27</v>
      </c>
    </row>
    <row r="29">
      <c r="A29" s="10">
        <v>26.0</v>
      </c>
      <c r="B29" s="11" t="s">
        <v>104</v>
      </c>
      <c r="C29" s="11" t="s">
        <v>105</v>
      </c>
      <c r="D29" s="11" t="s">
        <v>56</v>
      </c>
      <c r="E29" s="2"/>
      <c r="F29" s="11" t="s">
        <v>106</v>
      </c>
      <c r="G29" s="11" t="s">
        <v>25</v>
      </c>
      <c r="I29" s="12">
        <v>3.0</v>
      </c>
      <c r="J29" s="13">
        <v>0.1</v>
      </c>
      <c r="K29" s="13">
        <v>0.3</v>
      </c>
      <c r="L29" s="14">
        <v>0.04</v>
      </c>
      <c r="M29" s="15">
        <v>0.11</v>
      </c>
    </row>
    <row r="30">
      <c r="A30" s="10">
        <v>27.0</v>
      </c>
      <c r="B30" s="11" t="s">
        <v>107</v>
      </c>
      <c r="C30" s="11" t="s">
        <v>108</v>
      </c>
      <c r="D30" s="11" t="s">
        <v>23</v>
      </c>
      <c r="E30" s="2"/>
      <c r="F30" s="11" t="s">
        <v>109</v>
      </c>
      <c r="G30" s="11" t="s">
        <v>17</v>
      </c>
      <c r="H30" s="1"/>
      <c r="I30" s="12">
        <v>9.0</v>
      </c>
      <c r="J30" s="13">
        <v>1.44</v>
      </c>
      <c r="K30" s="13">
        <v>12.96</v>
      </c>
      <c r="L30" s="16"/>
      <c r="M30" s="17"/>
    </row>
    <row r="31">
      <c r="A31" s="10">
        <v>28.0</v>
      </c>
      <c r="B31" s="11" t="s">
        <v>110</v>
      </c>
      <c r="C31" s="11" t="s">
        <v>111</v>
      </c>
      <c r="D31" s="11" t="s">
        <v>79</v>
      </c>
      <c r="E31" s="2"/>
      <c r="F31" s="11" t="s">
        <v>112</v>
      </c>
      <c r="G31" s="11" t="s">
        <v>25</v>
      </c>
      <c r="I31" s="12">
        <v>10.0</v>
      </c>
      <c r="J31" s="13">
        <v>0.061</v>
      </c>
      <c r="K31" s="13">
        <v>0.61</v>
      </c>
      <c r="L31" s="14">
        <v>0.01</v>
      </c>
      <c r="M31" s="15">
        <v>0.07</v>
      </c>
    </row>
    <row r="32">
      <c r="A32" s="10">
        <v>29.0</v>
      </c>
      <c r="B32" s="11" t="s">
        <v>113</v>
      </c>
      <c r="C32" s="11" t="s">
        <v>114</v>
      </c>
      <c r="D32" s="11" t="s">
        <v>115</v>
      </c>
      <c r="E32" s="2"/>
      <c r="F32" s="11" t="s">
        <v>116</v>
      </c>
      <c r="G32" s="11" t="s">
        <v>25</v>
      </c>
      <c r="I32" s="12">
        <v>3.0</v>
      </c>
      <c r="J32" s="13">
        <v>0.37</v>
      </c>
      <c r="K32" s="13">
        <v>1.11</v>
      </c>
      <c r="L32" s="16"/>
      <c r="M32" s="17"/>
    </row>
    <row r="33">
      <c r="A33" s="10">
        <v>30.0</v>
      </c>
      <c r="B33" s="11" t="s">
        <v>117</v>
      </c>
      <c r="C33" s="11" t="s">
        <v>118</v>
      </c>
      <c r="D33" s="11" t="s">
        <v>56</v>
      </c>
      <c r="E33" s="2"/>
      <c r="F33" s="11" t="s">
        <v>119</v>
      </c>
      <c r="G33" s="11" t="s">
        <v>25</v>
      </c>
      <c r="I33" s="12">
        <v>3.0</v>
      </c>
      <c r="J33" s="13">
        <v>0.1</v>
      </c>
      <c r="K33" s="13">
        <v>0.3</v>
      </c>
      <c r="L33" s="14">
        <v>0.04</v>
      </c>
      <c r="M33" s="15">
        <v>0.11</v>
      </c>
    </row>
    <row r="34">
      <c r="A34" s="10">
        <v>31.0</v>
      </c>
      <c r="B34" s="11" t="s">
        <v>120</v>
      </c>
      <c r="C34" s="11" t="s">
        <v>121</v>
      </c>
      <c r="D34" s="11" t="s">
        <v>122</v>
      </c>
      <c r="E34" s="2"/>
      <c r="F34" s="11" t="s">
        <v>123</v>
      </c>
      <c r="G34" s="11" t="s">
        <v>17</v>
      </c>
      <c r="H34" s="1"/>
      <c r="I34" s="12">
        <v>3.0</v>
      </c>
      <c r="J34" s="13">
        <v>0.15</v>
      </c>
      <c r="K34" s="13">
        <v>0.45</v>
      </c>
      <c r="L34" s="14">
        <v>0.02</v>
      </c>
      <c r="M34" s="15">
        <v>0.06</v>
      </c>
    </row>
    <row r="35">
      <c r="A35" s="10">
        <v>32.0</v>
      </c>
      <c r="B35" s="11" t="s">
        <v>124</v>
      </c>
      <c r="C35" s="11" t="s">
        <v>125</v>
      </c>
      <c r="D35" s="11" t="s">
        <v>68</v>
      </c>
      <c r="E35" s="2"/>
      <c r="F35" s="11" t="s">
        <v>126</v>
      </c>
      <c r="G35" s="11" t="s">
        <v>25</v>
      </c>
      <c r="I35" s="12">
        <v>3.0</v>
      </c>
      <c r="J35" s="13">
        <v>0.1</v>
      </c>
      <c r="K35" s="13">
        <v>0.3</v>
      </c>
      <c r="L35" s="14">
        <v>0.01</v>
      </c>
      <c r="M35" s="15">
        <v>0.03</v>
      </c>
    </row>
    <row r="36">
      <c r="A36" s="10">
        <v>33.0</v>
      </c>
      <c r="B36" s="11" t="s">
        <v>127</v>
      </c>
      <c r="C36" s="11" t="s">
        <v>128</v>
      </c>
      <c r="D36" s="11" t="s">
        <v>49</v>
      </c>
      <c r="E36" s="2"/>
      <c r="F36" s="11" t="s">
        <v>129</v>
      </c>
      <c r="G36" s="11" t="s">
        <v>17</v>
      </c>
      <c r="H36" s="2"/>
      <c r="I36" s="12">
        <v>16.0</v>
      </c>
      <c r="J36" s="13">
        <v>0.148</v>
      </c>
      <c r="K36" s="13">
        <v>2.37</v>
      </c>
      <c r="L36" s="14">
        <v>0.02</v>
      </c>
      <c r="M36" s="15">
        <v>0.32</v>
      </c>
    </row>
    <row r="37">
      <c r="A37" s="10">
        <v>34.0</v>
      </c>
      <c r="B37" s="11" t="s">
        <v>130</v>
      </c>
      <c r="C37" s="11" t="s">
        <v>131</v>
      </c>
      <c r="D37" s="11" t="s">
        <v>49</v>
      </c>
      <c r="E37" s="2"/>
      <c r="F37" s="11" t="s">
        <v>132</v>
      </c>
      <c r="G37" s="11" t="s">
        <v>17</v>
      </c>
      <c r="H37" s="11" t="s">
        <v>62</v>
      </c>
      <c r="I37" s="12">
        <v>12.0</v>
      </c>
      <c r="J37" s="13">
        <v>0.057</v>
      </c>
      <c r="K37" s="13">
        <v>0.68</v>
      </c>
      <c r="L37" s="14">
        <v>0.01</v>
      </c>
      <c r="M37" s="15">
        <v>0.1</v>
      </c>
    </row>
    <row r="38">
      <c r="A38" s="10">
        <v>35.0</v>
      </c>
      <c r="B38" s="11" t="s">
        <v>133</v>
      </c>
      <c r="C38" s="11" t="s">
        <v>134</v>
      </c>
      <c r="D38" s="11" t="s">
        <v>49</v>
      </c>
      <c r="E38" s="2"/>
      <c r="F38" s="11" t="s">
        <v>135</v>
      </c>
      <c r="G38" s="11" t="s">
        <v>17</v>
      </c>
      <c r="H38" s="2"/>
      <c r="I38" s="12">
        <v>3.0</v>
      </c>
      <c r="J38" s="13">
        <v>0.35</v>
      </c>
      <c r="K38" s="13">
        <v>1.05</v>
      </c>
      <c r="L38" s="14">
        <v>0.06</v>
      </c>
      <c r="M38" s="15">
        <v>0.18</v>
      </c>
    </row>
    <row r="39">
      <c r="A39" s="10">
        <v>36.0</v>
      </c>
      <c r="B39" s="11" t="s">
        <v>136</v>
      </c>
      <c r="C39" s="11" t="s">
        <v>137</v>
      </c>
      <c r="D39" s="11" t="s">
        <v>68</v>
      </c>
      <c r="E39" s="2"/>
      <c r="F39" s="11" t="s">
        <v>138</v>
      </c>
      <c r="G39" s="11" t="s">
        <v>17</v>
      </c>
      <c r="H39" s="2"/>
      <c r="I39" s="12">
        <v>3.0</v>
      </c>
      <c r="J39" s="13">
        <v>0.14</v>
      </c>
      <c r="K39" s="13">
        <v>0.42</v>
      </c>
      <c r="L39" s="14">
        <v>0.01</v>
      </c>
      <c r="M39" s="15">
        <v>0.04</v>
      </c>
    </row>
    <row r="40">
      <c r="A40" s="10">
        <v>37.0</v>
      </c>
      <c r="B40" s="11" t="s">
        <v>139</v>
      </c>
      <c r="C40" s="11" t="s">
        <v>140</v>
      </c>
      <c r="D40" s="11" t="s">
        <v>122</v>
      </c>
      <c r="E40" s="2"/>
      <c r="F40" s="11" t="s">
        <v>141</v>
      </c>
      <c r="G40" s="11" t="s">
        <v>17</v>
      </c>
      <c r="H40" s="2"/>
      <c r="I40" s="12">
        <v>3.0</v>
      </c>
      <c r="J40" s="13">
        <v>0.1</v>
      </c>
      <c r="K40" s="13">
        <v>0.3</v>
      </c>
      <c r="L40" s="14">
        <v>0.02</v>
      </c>
      <c r="M40" s="15">
        <v>0.05</v>
      </c>
    </row>
    <row r="41">
      <c r="A41" s="10">
        <v>38.0</v>
      </c>
      <c r="B41" s="11" t="s">
        <v>142</v>
      </c>
      <c r="C41" s="11" t="s">
        <v>143</v>
      </c>
      <c r="D41" s="11" t="s">
        <v>49</v>
      </c>
      <c r="E41" s="2"/>
      <c r="F41" s="11" t="s">
        <v>144</v>
      </c>
      <c r="G41" s="11" t="s">
        <v>17</v>
      </c>
      <c r="H41" s="2"/>
      <c r="I41" s="12">
        <v>3.0</v>
      </c>
      <c r="J41" s="13">
        <v>0.1</v>
      </c>
      <c r="K41" s="13">
        <v>0.3</v>
      </c>
      <c r="L41" s="14">
        <v>0.05</v>
      </c>
      <c r="M41" s="15">
        <v>0.15</v>
      </c>
    </row>
    <row r="42">
      <c r="A42" s="20"/>
      <c r="B42" s="1"/>
      <c r="C42" s="1"/>
      <c r="D42" s="2"/>
      <c r="E42" s="2"/>
      <c r="F42" s="2"/>
      <c r="G42" s="2"/>
      <c r="H42" s="2"/>
      <c r="I42" s="2"/>
      <c r="J42" s="2"/>
      <c r="K42" s="2"/>
      <c r="L42" s="21" t="s">
        <v>145</v>
      </c>
      <c r="M42" s="22">
        <v>81.73</v>
      </c>
    </row>
    <row r="43">
      <c r="A43" s="23"/>
      <c r="B43" s="2"/>
      <c r="C43" s="2"/>
      <c r="D43" s="2"/>
      <c r="E43" s="2"/>
      <c r="F43" s="2"/>
      <c r="G43" s="2"/>
      <c r="H43" s="2"/>
      <c r="I43" s="2"/>
      <c r="J43" s="2"/>
      <c r="K43" s="2"/>
      <c r="L43" s="24" t="s">
        <v>146</v>
      </c>
      <c r="M43" s="22">
        <v>26.99</v>
      </c>
    </row>
    <row r="44">
      <c r="A44" s="25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7" t="s">
        <v>147</v>
      </c>
      <c r="M44" s="28">
        <v>14.45</v>
      </c>
    </row>
    <row r="45">
      <c r="A45" s="2"/>
      <c r="B45" s="4" t="s">
        <v>148</v>
      </c>
      <c r="C45" s="2"/>
      <c r="D45" s="2"/>
      <c r="E45" s="2"/>
      <c r="F45" s="2"/>
      <c r="G45" s="2"/>
      <c r="H45" s="2"/>
      <c r="I45" s="2"/>
      <c r="J45" s="2"/>
      <c r="K45" s="2"/>
      <c r="L45" s="29"/>
      <c r="M45" s="2"/>
    </row>
    <row r="46">
      <c r="A46" s="30"/>
      <c r="B46" s="31" t="s">
        <v>5</v>
      </c>
      <c r="C46" s="32"/>
      <c r="D46" s="32"/>
      <c r="E46" s="32"/>
      <c r="F46" s="32"/>
      <c r="G46" s="32"/>
      <c r="H46" s="32"/>
      <c r="I46" s="31" t="s">
        <v>149</v>
      </c>
      <c r="J46" s="31" t="s">
        <v>9</v>
      </c>
      <c r="K46" s="31" t="s">
        <v>150</v>
      </c>
      <c r="L46" s="32"/>
      <c r="M46" s="33"/>
    </row>
    <row r="47">
      <c r="A47" s="23"/>
      <c r="B47" s="34" t="s">
        <v>151</v>
      </c>
      <c r="D47" s="2"/>
      <c r="E47" s="2"/>
      <c r="F47" s="2"/>
      <c r="G47" s="2"/>
      <c r="H47" s="2"/>
      <c r="I47" s="12">
        <v>4.0</v>
      </c>
      <c r="J47" s="35">
        <v>3.85</v>
      </c>
      <c r="K47" s="35">
        <v>15.5</v>
      </c>
      <c r="L47" s="2"/>
      <c r="M47" s="36"/>
    </row>
    <row r="48">
      <c r="A48" s="23"/>
      <c r="B48" s="2"/>
      <c r="C48" s="2"/>
      <c r="D48" s="2"/>
      <c r="E48" s="2"/>
      <c r="F48" s="2"/>
      <c r="G48" s="2"/>
      <c r="H48" s="2"/>
      <c r="I48" s="2"/>
      <c r="J48" s="2"/>
      <c r="K48" s="2"/>
      <c r="L48" s="21" t="s">
        <v>145</v>
      </c>
      <c r="M48" s="22">
        <v>15.5</v>
      </c>
    </row>
    <row r="49">
      <c r="A49" s="25"/>
      <c r="B49" s="2"/>
      <c r="C49" s="26"/>
      <c r="D49" s="26"/>
      <c r="E49" s="26"/>
      <c r="F49" s="26"/>
      <c r="G49" s="26"/>
      <c r="H49" s="26"/>
      <c r="I49" s="26"/>
      <c r="J49" s="26"/>
      <c r="K49" s="26"/>
      <c r="L49" s="37" t="s">
        <v>146</v>
      </c>
      <c r="M49" s="28">
        <v>9.58</v>
      </c>
    </row>
    <row r="50">
      <c r="A50" s="30"/>
      <c r="B50" s="38"/>
      <c r="C50" s="32"/>
      <c r="D50" s="32"/>
      <c r="E50" s="32"/>
      <c r="F50" s="32"/>
      <c r="G50" s="32"/>
      <c r="H50" s="32"/>
      <c r="I50" s="31"/>
      <c r="J50" s="31"/>
      <c r="K50" s="31"/>
      <c r="L50" s="39"/>
      <c r="M50" s="33"/>
    </row>
    <row r="51">
      <c r="A51" s="23"/>
      <c r="B51" s="4"/>
      <c r="C51" s="2"/>
      <c r="D51" s="2"/>
      <c r="E51" s="2"/>
      <c r="F51" s="2"/>
      <c r="G51" s="2"/>
      <c r="H51" s="2"/>
      <c r="I51" s="11"/>
      <c r="J51" s="35"/>
      <c r="K51" s="2"/>
      <c r="L51" s="29"/>
      <c r="M51" s="36"/>
    </row>
    <row r="52">
      <c r="A52" s="23"/>
      <c r="B52" s="2"/>
      <c r="C52" s="2"/>
      <c r="D52" s="2"/>
      <c r="E52" s="2"/>
      <c r="F52" s="2"/>
      <c r="G52" s="2"/>
      <c r="H52" s="2"/>
      <c r="I52" s="2"/>
      <c r="J52" s="2"/>
      <c r="K52" s="2"/>
      <c r="L52" s="29"/>
      <c r="M52" s="36"/>
    </row>
    <row r="53">
      <c r="A53" s="25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40"/>
      <c r="M53" s="41"/>
    </row>
    <row r="54">
      <c r="A54" s="30"/>
      <c r="B54" s="31" t="s">
        <v>152</v>
      </c>
      <c r="C54" s="32"/>
      <c r="D54" s="32"/>
      <c r="E54" s="32"/>
      <c r="F54" s="32"/>
      <c r="G54" s="32"/>
      <c r="H54" s="32"/>
      <c r="I54" s="31" t="s">
        <v>149</v>
      </c>
      <c r="J54" s="31" t="s">
        <v>9</v>
      </c>
      <c r="K54" s="31" t="s">
        <v>150</v>
      </c>
      <c r="L54" s="39"/>
      <c r="M54" s="33"/>
    </row>
    <row r="55">
      <c r="A55" s="23"/>
      <c r="B55" s="31" t="s">
        <v>5</v>
      </c>
      <c r="C55" s="2"/>
      <c r="D55" s="2"/>
      <c r="E55" s="2"/>
      <c r="F55" s="2"/>
      <c r="G55" s="2"/>
      <c r="H55" s="2"/>
      <c r="I55" s="2"/>
      <c r="J55" s="2"/>
      <c r="K55" s="2">
        <f t="shared" ref="K55:K59" si="1">J55*I55</f>
        <v>0</v>
      </c>
      <c r="L55" s="29"/>
      <c r="M55" s="36"/>
    </row>
    <row r="56">
      <c r="A56" s="42">
        <v>1.0</v>
      </c>
      <c r="B56" s="43" t="s">
        <v>153</v>
      </c>
      <c r="C56" s="2"/>
      <c r="D56" s="2"/>
      <c r="E56" s="2"/>
      <c r="F56" s="2"/>
      <c r="G56" s="2"/>
      <c r="H56" s="2"/>
      <c r="I56" s="11">
        <v>1.0</v>
      </c>
      <c r="J56" s="44">
        <v>80.0</v>
      </c>
      <c r="K56" s="45">
        <f t="shared" si="1"/>
        <v>80</v>
      </c>
      <c r="L56" s="29"/>
      <c r="M56" s="36"/>
    </row>
    <row r="57">
      <c r="A57" s="42">
        <v>2.0</v>
      </c>
      <c r="B57" s="43" t="s">
        <v>154</v>
      </c>
      <c r="C57" s="2"/>
      <c r="D57" s="2"/>
      <c r="E57" s="2"/>
      <c r="F57" s="2"/>
      <c r="G57" s="2"/>
      <c r="H57" s="2"/>
      <c r="I57" s="11">
        <v>1.0</v>
      </c>
      <c r="J57" s="44">
        <v>12.0</v>
      </c>
      <c r="K57" s="45">
        <f t="shared" si="1"/>
        <v>12</v>
      </c>
      <c r="L57" s="21" t="s">
        <v>145</v>
      </c>
      <c r="M57" s="22">
        <f>sum(K56:K59)+9.91</f>
        <v>122.51</v>
      </c>
    </row>
    <row r="58">
      <c r="A58" s="42">
        <v>3.0</v>
      </c>
      <c r="B58" s="43" t="s">
        <v>155</v>
      </c>
      <c r="C58" s="2"/>
      <c r="D58" s="2"/>
      <c r="E58" s="2"/>
      <c r="F58" s="2"/>
      <c r="G58" s="2"/>
      <c r="H58" s="2"/>
      <c r="I58" s="11">
        <v>1.0</v>
      </c>
      <c r="J58" s="44">
        <v>15.6</v>
      </c>
      <c r="K58" s="45">
        <f t="shared" si="1"/>
        <v>15.6</v>
      </c>
      <c r="L58" s="24" t="s">
        <v>146</v>
      </c>
      <c r="M58" s="22">
        <v>6.99</v>
      </c>
    </row>
    <row r="59">
      <c r="A59" s="46">
        <v>4.0</v>
      </c>
      <c r="B59" s="47" t="s">
        <v>156</v>
      </c>
      <c r="C59" s="26"/>
      <c r="D59" s="26"/>
      <c r="E59" s="26"/>
      <c r="F59" s="26"/>
      <c r="G59" s="26"/>
      <c r="H59" s="26"/>
      <c r="I59" s="48">
        <v>1.0</v>
      </c>
      <c r="J59" s="49">
        <v>5.0</v>
      </c>
      <c r="K59" s="50">
        <f t="shared" si="1"/>
        <v>5</v>
      </c>
      <c r="L59" s="27" t="s">
        <v>147</v>
      </c>
      <c r="M59" s="28">
        <v>0.5</v>
      </c>
    </row>
    <row r="60">
      <c r="B60" s="51" t="s">
        <v>157</v>
      </c>
    </row>
    <row r="61">
      <c r="A61" s="12">
        <v>1.0</v>
      </c>
      <c r="B61" s="11" t="s">
        <v>37</v>
      </c>
      <c r="C61" s="11" t="s">
        <v>38</v>
      </c>
      <c r="D61" s="11" t="s">
        <v>15</v>
      </c>
      <c r="E61" s="2"/>
      <c r="F61" s="11" t="s">
        <v>39</v>
      </c>
      <c r="G61" s="11" t="s">
        <v>17</v>
      </c>
      <c r="H61" s="2"/>
      <c r="I61" s="12">
        <v>3.0</v>
      </c>
      <c r="J61" s="13">
        <v>2.56</v>
      </c>
      <c r="K61" s="13">
        <v>7.68</v>
      </c>
      <c r="L61" s="52"/>
      <c r="M61" s="16"/>
    </row>
    <row r="62">
      <c r="A62" s="12">
        <v>2.0</v>
      </c>
      <c r="B62" s="11" t="s">
        <v>158</v>
      </c>
      <c r="C62" s="11" t="s">
        <v>159</v>
      </c>
      <c r="D62" s="11" t="s">
        <v>15</v>
      </c>
      <c r="E62" s="2"/>
      <c r="F62" s="11" t="s">
        <v>160</v>
      </c>
      <c r="G62" s="11" t="s">
        <v>17</v>
      </c>
      <c r="H62" s="2"/>
      <c r="I62" s="12">
        <v>2.0</v>
      </c>
      <c r="J62" s="13">
        <v>2.89</v>
      </c>
      <c r="K62" s="13">
        <v>5.78</v>
      </c>
      <c r="L62" s="14">
        <v>1.62</v>
      </c>
      <c r="M62" s="14">
        <v>3.24</v>
      </c>
    </row>
    <row r="63">
      <c r="A63" s="12">
        <v>3.0</v>
      </c>
      <c r="B63" s="11" t="s">
        <v>161</v>
      </c>
      <c r="C63" s="11" t="s">
        <v>162</v>
      </c>
      <c r="D63" s="11" t="s">
        <v>115</v>
      </c>
      <c r="E63" s="2"/>
      <c r="F63" s="11" t="s">
        <v>163</v>
      </c>
      <c r="G63" s="11" t="s">
        <v>25</v>
      </c>
      <c r="I63" s="12">
        <v>10.0</v>
      </c>
      <c r="J63" s="13">
        <v>0.054</v>
      </c>
      <c r="K63" s="13">
        <v>0.54</v>
      </c>
      <c r="L63" s="18"/>
      <c r="M63" s="18"/>
    </row>
    <row r="64">
      <c r="A64" s="12">
        <v>4.0</v>
      </c>
      <c r="B64" s="11" t="s">
        <v>21</v>
      </c>
      <c r="C64" s="11" t="s">
        <v>22</v>
      </c>
      <c r="D64" s="11" t="s">
        <v>23</v>
      </c>
      <c r="E64" s="2"/>
      <c r="F64" s="11" t="s">
        <v>24</v>
      </c>
      <c r="G64" s="11" t="s">
        <v>25</v>
      </c>
      <c r="I64" s="12">
        <v>6.0</v>
      </c>
      <c r="J64" s="13">
        <v>1.57</v>
      </c>
      <c r="K64" s="13">
        <v>9.42</v>
      </c>
      <c r="L64" s="14">
        <v>0.88</v>
      </c>
      <c r="M64" s="14">
        <v>5.27</v>
      </c>
    </row>
    <row r="65">
      <c r="A65" s="12">
        <v>5.0</v>
      </c>
      <c r="B65" s="11" t="s">
        <v>164</v>
      </c>
      <c r="C65" s="11" t="s">
        <v>165</v>
      </c>
      <c r="D65" s="11" t="s">
        <v>166</v>
      </c>
      <c r="E65" s="2"/>
      <c r="F65" s="11" t="s">
        <v>167</v>
      </c>
      <c r="G65" s="11" t="s">
        <v>17</v>
      </c>
      <c r="H65" s="2"/>
      <c r="I65" s="12">
        <v>1.0</v>
      </c>
      <c r="J65" s="13">
        <v>5.0</v>
      </c>
      <c r="K65" s="13">
        <v>5.0</v>
      </c>
      <c r="L65" s="14">
        <v>1.8</v>
      </c>
      <c r="M65" s="14">
        <v>1.8</v>
      </c>
    </row>
    <row r="66">
      <c r="L66" s="53" t="s">
        <v>145</v>
      </c>
      <c r="M66" s="54">
        <v>28.42</v>
      </c>
    </row>
    <row r="67">
      <c r="A67" s="30"/>
      <c r="B67" s="31" t="s">
        <v>5</v>
      </c>
      <c r="C67" s="32"/>
      <c r="D67" s="32"/>
      <c r="E67" s="32"/>
      <c r="F67" s="32"/>
      <c r="G67" s="32"/>
      <c r="H67" s="32"/>
      <c r="I67" s="31" t="s">
        <v>149</v>
      </c>
      <c r="J67" s="31" t="s">
        <v>9</v>
      </c>
      <c r="K67" s="31" t="s">
        <v>150</v>
      </c>
      <c r="L67" s="32"/>
      <c r="M67" s="33"/>
    </row>
    <row r="68">
      <c r="A68" s="23"/>
      <c r="B68" s="55" t="s">
        <v>168</v>
      </c>
      <c r="D68" s="2"/>
      <c r="E68" s="2"/>
      <c r="F68" s="2"/>
      <c r="G68" s="2"/>
      <c r="H68" s="2"/>
      <c r="I68" s="12">
        <v>1.0</v>
      </c>
      <c r="J68" s="35">
        <v>6.99</v>
      </c>
      <c r="K68" s="35">
        <v>6.99</v>
      </c>
      <c r="L68" s="2"/>
      <c r="M68" s="36"/>
    </row>
    <row r="69">
      <c r="A69" s="23"/>
      <c r="B69" s="2"/>
      <c r="C69" s="2"/>
      <c r="D69" s="2"/>
      <c r="E69" s="2"/>
      <c r="F69" s="2"/>
      <c r="G69" s="2"/>
      <c r="H69" s="2"/>
      <c r="I69" s="2"/>
      <c r="J69" s="2"/>
      <c r="K69" s="2"/>
      <c r="L69" s="21" t="s">
        <v>145</v>
      </c>
      <c r="M69" s="22">
        <v>6.99</v>
      </c>
    </row>
    <row r="70">
      <c r="A70" s="25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37" t="s">
        <v>146</v>
      </c>
      <c r="M70" s="28">
        <v>0.58</v>
      </c>
    </row>
    <row r="72">
      <c r="M72" s="56" t="s">
        <v>169</v>
      </c>
    </row>
  </sheetData>
  <mergeCells count="15">
    <mergeCell ref="G31:H31"/>
    <mergeCell ref="G32:H32"/>
    <mergeCell ref="G33:H33"/>
    <mergeCell ref="G35:H35"/>
    <mergeCell ref="B47:C47"/>
    <mergeCell ref="G63:H63"/>
    <mergeCell ref="G64:H64"/>
    <mergeCell ref="B68:C68"/>
    <mergeCell ref="G6:H6"/>
    <mergeCell ref="G8:H8"/>
    <mergeCell ref="G11:H11"/>
    <mergeCell ref="G21:H21"/>
    <mergeCell ref="G24:H24"/>
    <mergeCell ref="G28:H28"/>
    <mergeCell ref="G29:H29"/>
  </mergeCells>
  <hyperlinks>
    <hyperlink r:id="rId1" ref="B47"/>
    <hyperlink r:id="rId2" ref="B56"/>
    <hyperlink r:id="rId3" ref="B57"/>
    <hyperlink r:id="rId4" ref="B58"/>
    <hyperlink r:id="rId5" ref="B59"/>
  </hyperlinks>
  <printOptions gridLines="1" horizontalCentered="1"/>
  <pageMargins bottom="0.75" footer="0.0" header="0.0" left="0.7" right="0.7" top="0.75"/>
  <pageSetup fitToWidth="0" paperSize="5" cellComments="atEnd" orientation="landscape" pageOrder="overThenDown"/>
  <drawing r:id="rId6"/>
</worksheet>
</file>