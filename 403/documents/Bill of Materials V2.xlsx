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<sst xmlns="http://schemas.openxmlformats.org/spreadsheetml/2006/main" count="164" uniqueCount="150">
  <si>
    <t>Part Designator</t>
  </si>
  <si>
    <t>QYT</t>
  </si>
  <si>
    <t>Description</t>
  </si>
  <si>
    <t>Q4,Q5</t>
  </si>
  <si>
    <t>https://www.digikey.com/en/products/detail/vishay-siliconix/SIR426DP-T1-GE3/2408527</t>
  </si>
  <si>
    <t>N-channel MOSFET, 40 V, 30 A, PowerPAK SO-8, Vishay-Siliconix, SiR426D</t>
  </si>
  <si>
    <t>D1</t>
  </si>
  <si>
    <t>https://www.digikey.com/en/products/detail/onsemi/BAT54CLT3G/1792157?s=N4IgTCBcDaIEIEEAqBWALAYQDYBcDMA5iALoC%2BQA</t>
  </si>
  <si>
    <t>Diode, dual Schottky, 30 V, 200 mA, SOT23, Fairchild, BAT54C</t>
  </si>
  <si>
    <t>D2</t>
  </si>
  <si>
    <t>Schottky diode, 40V, 5A, SMC, ON Semiconductor, MBRS540T</t>
  </si>
  <si>
    <t>RSR</t>
  </si>
  <si>
    <t>https://www.digikey.com/en/products/detail/vishay-dale/WSL2010R0100FEA18/712518</t>
  </si>
  <si>
    <t>Sense resistor, 10 mΩ, 1%, 1 W, 2010, Vishay-Dale, WSL2010R0100F</t>
  </si>
  <si>
    <t>L1</t>
  </si>
  <si>
    <t>https://www.mouser.com/ProductDetail/Vishay-Dale/IHLP2525CZER3R3MA1?qs=ROh%252BA47s9d1%252BbNZuCM0reg%3D%3D</t>
  </si>
  <si>
    <t>Inductor, 3.3 μH, 5.5 A, Vishay-Dale, IHLP2525CZ</t>
  </si>
  <si>
    <t>C8,C9,C12,C13</t>
  </si>
  <si>
    <t>https://www.digikey.com/en/products/detail/murata-electronics/GRM32ER7YA106KA12L/2039041?s=N4IgTCBcDaIOICUCyBmMBRBB2AmgQQEYAGANgGlCwAZEAXQF8g</t>
  </si>
  <si>
    <t>Capacitor, ceramic, 10 μF, 35 V, 10%, X7R</t>
  </si>
  <si>
    <t>C2</t>
  </si>
  <si>
    <t>https://www.mouser.com/ProductDetail/TDK/CGA5L3X7R1H225K160AB?qs=NRhsANhppD8gvgY8df5YXQ%3D%3D</t>
  </si>
  <si>
    <t>Capacitor, ceramic, 3.3µF, 50 V, 10%, X7R</t>
  </si>
  <si>
    <t>C4, C5</t>
  </si>
  <si>
    <t>https://www.digikey.com/en/products/detail/kemet/C1206C105K4RACTU/411529</t>
  </si>
  <si>
    <t>Capacitor, ceramic, 1 μF, 16V, 10%, X7</t>
  </si>
  <si>
    <t>C7</t>
  </si>
  <si>
    <t>https://www.digikey.com/en/products/detail/murata-electronics/GRM32ER71H105KA01L/7363051</t>
  </si>
  <si>
    <t>Capacitor, ceramic, 1µF, 50 V, 10%, X7R</t>
  </si>
  <si>
    <t>C1,C6,C11</t>
  </si>
  <si>
    <t>https://www.digikey.com/en/products/detail/kemet/C0603C104K4RAC7411/8570360</t>
  </si>
  <si>
    <t>Capacitor, ceramic, 0.1 μF, 16 V, 10%, X7R</t>
  </si>
  <si>
    <t>Cff</t>
  </si>
  <si>
    <t>https://www.digikey.com/en/products/detail/murata-electronics/DE11XRB220KN4AR01F/8024678</t>
  </si>
  <si>
    <t>Capacitor, ceramic, 22 pF, 35 V, 10%, X7R</t>
  </si>
  <si>
    <t>C10</t>
  </si>
  <si>
    <t>https://www.digikey.com/en/products/detail/kemet/C0603C104K5RACTU/1465594</t>
  </si>
  <si>
    <t>Capacitor, ceramic, 0.1 μF, 50V, 10%</t>
  </si>
  <si>
    <t>R1,R7</t>
  </si>
  <si>
    <t>https://www.digikey.com/en/products/detail/susumu/RR0816P-104-D/432233?s=N4IgTCBcDaIEpwAwA4CMA2ACgWlYgLNgCIA6ALueSALoC%2BQA</t>
  </si>
  <si>
    <t xml:space="preserve"> Resistor, chip, 100 kΩ, 1/16W, 0.5</t>
  </si>
  <si>
    <t>R2</t>
  </si>
  <si>
    <t>https://www.digikey.com/en/products/detail/susumu/RR0816P-304-D/432244?s=N4IgTCBcDaIEpwAwA4CMA2ACgWgMyIBZsARAHQBcQBdAXyA</t>
  </si>
  <si>
    <t xml:space="preserve"> Resistor, chip, 300 kΩ, 1/16W, 0.5%</t>
  </si>
  <si>
    <t>R8</t>
  </si>
  <si>
    <t>https://www.digikey.com/en/products/detail/susumu/RR0816P-154-D/432237?s=N4IgTCBcDaIEpwAwA4CMA2ACgWlQVgBZsARAHQBcQBdAXyA</t>
  </si>
  <si>
    <t xml:space="preserve"> Resistor, chip,150 kΩ, 1/16W, 0.5</t>
  </si>
  <si>
    <t>R9</t>
  </si>
  <si>
    <t>https://www.digikey.com/en/products/detail/stackpole-electronics-inc/RMCF0402FT9K31/1761618</t>
  </si>
  <si>
    <t xml:space="preserve"> Resistor, chip, 9.31 kΩ, 1/16W, 1%</t>
  </si>
  <si>
    <t>R10</t>
  </si>
  <si>
    <t>https://www.digikey.com/en/products/detail/yageo/RC0402FR-07442KL/726612</t>
  </si>
  <si>
    <t>Resistor, chip, 440 kΩ, 1/16W, 1%</t>
  </si>
  <si>
    <t>R11</t>
  </si>
  <si>
    <t>https://www.digikey.com/en/products/detail/stackpole-electronics-inc/RMCF2512JT2R00/1757010</t>
  </si>
  <si>
    <t>Resistor, chip, 2Ω, 1W, 5%</t>
  </si>
  <si>
    <t>R13,R14</t>
  </si>
  <si>
    <t>https://www.digikey.com/en/products/detail/venkel/CR0603-16W-103JT/12326823</t>
  </si>
  <si>
    <t>Resistor, chip, 10 kΩ, 1/16W, 5%</t>
  </si>
  <si>
    <t>R5</t>
  </si>
  <si>
    <t>https://www.digikey.com/en/products/detail/susumu/RR0816P-101-D/432161</t>
  </si>
  <si>
    <t>Resistor, chip, 100 Ω, 1/16W, 0.5%</t>
  </si>
  <si>
    <t>R6</t>
  </si>
  <si>
    <t>https://www.digikey.com/en/products/detail/stackpole-electronics-inc/RMCF2512JT10R0/1756974</t>
  </si>
  <si>
    <t xml:space="preserve"> Resistor, chip, 10 Ω, 1W, 5%</t>
  </si>
  <si>
    <t>D3, D4</t>
  </si>
  <si>
    <t>LED diode, green, 2.1 V, 20 mA, LTST-C190GKT</t>
  </si>
  <si>
    <t>BQ24600</t>
  </si>
  <si>
    <t>bq24600Stand-AloneSynchronousSwitch-ModeLi-IonorLi-PolymerBatteryCharger</t>
  </si>
  <si>
    <r>
      <rPr>
        <color rgb="FF1155CC"/>
        <u/>
      </rPr>
      <t>Information - 18650BatteryStore.com - Checkout</t>
    </r>
  </si>
  <si>
    <t>wc</t>
  </si>
  <si>
    <t>AC/DC Converter</t>
  </si>
  <si>
    <t>10V/10A AC/DC barral jack converter</t>
  </si>
  <si>
    <t>Vbatt</t>
  </si>
  <si>
    <t>3.7V Li-io battery cell</t>
  </si>
  <si>
    <t>Barral Jack(F)</t>
  </si>
  <si>
    <t>Dc Power Jack Socket 2.1mm Barrel-Type Pcb Mount</t>
  </si>
  <si>
    <t>Barral Jack(M)</t>
  </si>
  <si>
    <t>DC Barrel Jack Adapter - Male 2.1mm</t>
  </si>
  <si>
    <t>103ATN TC thermestor</t>
  </si>
  <si>
    <t>Part</t>
  </si>
  <si>
    <t>Manufacturer</t>
  </si>
  <si>
    <t>Part Number</t>
  </si>
  <si>
    <t>Quantity</t>
  </si>
  <si>
    <t>Price ($)</t>
  </si>
  <si>
    <t>Footprint (mm²)</t>
  </si>
  <si>
    <t>Rfbb</t>
  </si>
  <si>
    <t>Yageo</t>
  </si>
  <si>
    <t>RC0603FR-0730KL</t>
  </si>
  <si>
    <t>Resistance: 30 kΩ  Tolerance: 1.0%  Power: 100 mW</t>
  </si>
  <si>
    <t>Rfbt</t>
  </si>
  <si>
    <t>RC0603FR-07220KL</t>
  </si>
  <si>
    <t>Resistance: 220 kΩ  Tolerance: 1.0%  Power: 100 mW</t>
  </si>
  <si>
    <t>Cboot</t>
  </si>
  <si>
    <t>MuRata</t>
  </si>
  <si>
    <t>GRM155R71C104KA88D</t>
  </si>
  <si>
    <t>Cap: 100 nF  Total Derated Cap: 100 nF  VDC: 16 V  ESR: 1 mΩ  Package: 0402</t>
  </si>
  <si>
    <t>Css</t>
  </si>
  <si>
    <t>GRM155R71C103KA01D</t>
  </si>
  <si>
    <t>Cap: 10 nF  Total Derated Cap: 10 nF  VDC: 16 V  ESR: 1 mΩ  Package: 0402</t>
  </si>
  <si>
    <t>Coutx</t>
  </si>
  <si>
    <t>GRM188R71E104KA01D</t>
  </si>
  <si>
    <t>Cap: 100 nF  Total Derated Cap: 99 nF  VDC: 25 V  ESR: 30 mΩ  Package: 0603</t>
  </si>
  <si>
    <t>Cin</t>
  </si>
  <si>
    <t>Taiyo Yuden</t>
  </si>
  <si>
    <t>MSASE21GBB5226MTNA01</t>
  </si>
  <si>
    <t>Cap: 22 µF  Total Derated Cap: 11 µF  VDC: 16 V  ESR: 3.99 mΩ  Package: 0805</t>
  </si>
  <si>
    <t>L2</t>
  </si>
  <si>
    <t>Coilcraft</t>
  </si>
  <si>
    <t>XAL5030-222MEB</t>
  </si>
  <si>
    <t>L: 2.2 µH  DCR: 13.2 mΩ  IDC: 9.2 A</t>
  </si>
  <si>
    <t>U1</t>
  </si>
  <si>
    <t>Texas Instruments</t>
  </si>
  <si>
    <t>TPS566238RQFR</t>
  </si>
  <si>
    <t>Cvcc</t>
  </si>
  <si>
    <t>EMK107B7105KA-T</t>
  </si>
  <si>
    <t>Cap: 1 µF  Total Derated Cap: 1 µF  VDC: 16 V  ESR: 1 mΩ  Package: 0603</t>
  </si>
  <si>
    <t>Cout</t>
  </si>
  <si>
    <t>LMK212BJ226MG-T</t>
  </si>
  <si>
    <t>Cap: 22 µF  Total Derated Cap: 44 µF  VDC: 10 V  ESR: 1 mΩ  Package: 0805</t>
  </si>
  <si>
    <t>Cinx</t>
  </si>
  <si>
    <t>GRM188R71H104KA93D</t>
  </si>
  <si>
    <t>Cap: 100 nF  Total Derated Cap: 99 nF  VDC: 50 V  ESR: 20 mΩ  Package: 0603</t>
  </si>
  <si>
    <t>Cff'</t>
  </si>
  <si>
    <t>TDK</t>
  </si>
  <si>
    <t>CGA1A2C0G1E330J030BA</t>
  </si>
  <si>
    <t>Cap: 33 pF  Total Derated Cap: 33 pF  VDC: 25 V  ESR: 0 Ω  Package: 0201</t>
  </si>
  <si>
    <t>https://www.digikey.com/en/products/detail/kyocera-avx/KGM15ACG1E330JT/1599201</t>
  </si>
  <si>
    <t>Cbst</t>
  </si>
  <si>
    <t>AVX</t>
  </si>
  <si>
    <t>08053C104KAT2A</t>
  </si>
  <si>
    <t>Cap: 100 nF  Total Derated Cap: 100 nF  VDC: 25 V  ESR: 280 mΩ  Package: 0805</t>
  </si>
  <si>
    <t>MSAST219LB5106KTNA01</t>
  </si>
  <si>
    <t>Cap: 10 µF  Total Derated Cap: 7.9 µF  VDC: 25 V  ESR: 5.85 mΩ  Package: 0805</t>
  </si>
  <si>
    <t>GRM188R60J226MEA0D</t>
  </si>
  <si>
    <t>Cap: 22 µF  Total Derated Cap: 24 µF  VDC: 6.3 V  ESR: 1 mΩ  Package: 0603</t>
  </si>
  <si>
    <t>L3</t>
  </si>
  <si>
    <t>VLP8040T-2R2N</t>
  </si>
  <si>
    <t>L: 2.2 µH  DCR: 15 mΩ  IDC: 6.7 A</t>
  </si>
  <si>
    <t>https://www.digikey.com/en/products/detail/bourns-inc/SRN8040-2R2Y/2756174</t>
  </si>
  <si>
    <t>Rfbb''</t>
  </si>
  <si>
    <t>RC0201FR-0710KL</t>
  </si>
  <si>
    <t>Resistance: 10 kΩ  Tolerance: 1.0%  Power: 50 mW</t>
  </si>
  <si>
    <t>Rfbt''</t>
  </si>
  <si>
    <t>Vishay-Dale</t>
  </si>
  <si>
    <t>CRCW040233K2FKED</t>
  </si>
  <si>
    <t>Resistance: 33.2 kΩ  Tolerance: 1.0%  Power: 63 mW</t>
  </si>
  <si>
    <t>U2</t>
  </si>
  <si>
    <t>TPS563209DDCR</t>
  </si>
  <si>
    <t>https://www.digikey.com/en/products/detail/vishay-dale/M55342K11B10E0RS3/2941889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</si>
</sst>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u/>
      <color rgb="FF0000FF"/>
    </font>
    <font>
      <u/>
      <color rgb="FF0000FF"/>
    </font>
    <font>
      <sz val="10.0"/>
      <color rgb="FF111111"/>
      <name val="Arial"/>
      <scheme val="minor"/>
    </font>
    <font>
      <color theme="1"/>
      <name val="Arial"/>
    </font>
    <font>
      <u/>
      <color rgb="FF0000FF"/>
      <name val="Arial"/>
    </font>
    <font>
      <sz val="15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2" fontId="1" numFmtId="0" xfId="0" applyAlignment="1" applyBorder="1" applyFont="1">
      <alignment readingOrder="0"/>
    </xf>
    <xf borderId="4" fillId="0" fontId="2" numFmtId="0" xfId="0" applyBorder="1" applyFont="1"/>
    <xf borderId="5" fillId="0" fontId="1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9" fillId="0" fontId="2" numFmtId="0" xfId="0" applyBorder="1" applyFont="1"/>
    <xf borderId="0" fillId="0" fontId="5" numFmtId="0" xfId="0" applyAlignment="1" applyFont="1">
      <alignment readingOrder="0"/>
    </xf>
    <xf borderId="9" fillId="0" fontId="1" numFmtId="0" xfId="0" applyBorder="1" applyFont="1"/>
    <xf borderId="8" fillId="3" fontId="1" numFmtId="0" xfId="0" applyAlignment="1" applyBorder="1" applyFill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0" fontId="1" numFmtId="0" xfId="0" applyBorder="1" applyFont="1"/>
    <xf borderId="9" fillId="0" fontId="0" numFmtId="0" xfId="0" applyBorder="1" applyFont="1"/>
    <xf borderId="0" fillId="4" fontId="6" numFmtId="0" xfId="0" applyAlignment="1" applyFill="1" applyFont="1">
      <alignment readingOrder="0" shrinkToFit="0" wrapText="1"/>
    </xf>
    <xf borderId="0" fillId="0" fontId="0" numFmtId="0" xfId="0" applyFont="1"/>
    <xf borderId="0" fillId="0" fontId="0" numFmtId="0" xfId="0" applyAlignment="1" applyFont="1">
      <alignment horizontal="left" readingOrder="0"/>
    </xf>
    <xf borderId="10" fillId="0" fontId="1" numFmtId="0" xfId="0" applyBorder="1" applyFont="1"/>
    <xf borderId="5" fillId="0" fontId="7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6" fillId="0" fontId="7" numFmtId="0" xfId="0" applyAlignment="1" applyBorder="1" applyFont="1">
      <alignment horizontal="right" vertical="bottom"/>
    </xf>
    <xf borderId="7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9" fillId="0" fontId="7" numFmtId="0" xfId="0" applyAlignment="1" applyBorder="1" applyFont="1">
      <alignment vertical="bottom"/>
    </xf>
    <xf borderId="8" fillId="0" fontId="7" numFmtId="0" xfId="0" applyAlignment="1" applyBorder="1" applyFont="1">
      <alignment readingOrder="0" vertical="bottom"/>
    </xf>
    <xf borderId="0" fillId="0" fontId="8" numFmtId="0" xfId="0" applyAlignment="1" applyFont="1">
      <alignment readingOrder="0" vertical="bottom"/>
    </xf>
    <xf borderId="10" fillId="0" fontId="7" numFmtId="0" xfId="0" applyAlignment="1" applyBorder="1" applyFont="1">
      <alignment readingOrder="0" vertical="bottom"/>
    </xf>
    <xf borderId="11" fillId="0" fontId="7" numFmtId="0" xfId="0" applyAlignment="1" applyBorder="1" applyFont="1">
      <alignment vertical="bottom"/>
    </xf>
    <xf borderId="11" fillId="0" fontId="7" numFmtId="0" xfId="0" applyAlignment="1" applyBorder="1" applyFont="1">
      <alignment horizontal="right" vertical="bottom"/>
    </xf>
    <xf borderId="12" fillId="0" fontId="7" numFmtId="0" xfId="0" applyAlignment="1" applyBorder="1" applyFont="1">
      <alignment vertical="bottom"/>
    </xf>
    <xf borderId="0" fillId="4" fontId="9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-361950</xdr:colOff>
      <xdr:row>28</xdr:row>
      <xdr:rowOff>104775</xdr:rowOff>
    </xdr:from>
    <xdr:ext cx="13773150" cy="77914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552450</xdr:colOff>
      <xdr:row>14</xdr:row>
      <xdr:rowOff>123825</xdr:rowOff>
    </xdr:from>
    <xdr:ext cx="5810250" cy="35052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66</xdr:row>
      <xdr:rowOff>171450</xdr:rowOff>
    </xdr:from>
    <xdr:ext cx="11649075" cy="95440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113</xdr:row>
      <xdr:rowOff>171450</xdr:rowOff>
    </xdr:from>
    <xdr:ext cx="9658350" cy="54387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stackpole-electronics-inc/RMCF2512JT10R0/1756974" TargetMode="External"/><Relationship Id="rId22" Type="http://schemas.openxmlformats.org/officeDocument/2006/relationships/hyperlink" Target="https://www.digikey.com/en/products/detail/kyocera-avx/KGM15ACG1E330JT/1599201" TargetMode="External"/><Relationship Id="rId21" Type="http://schemas.openxmlformats.org/officeDocument/2006/relationships/hyperlink" Target="https://www.18650batterystore.com/checkouts/cn/hWN3qBtw40HdmsUxSGcIAg1B/en/information?auto_redirect=false&amp;edge_redirect=true&amp;skip_shop_pay=true" TargetMode="External"/><Relationship Id="rId24" Type="http://schemas.openxmlformats.org/officeDocument/2006/relationships/hyperlink" Target="https://www.digikey.com/en/products/detail/vishay-dale/M55342K11B10E0RS3/2941889" TargetMode="External"/><Relationship Id="rId23" Type="http://schemas.openxmlformats.org/officeDocument/2006/relationships/hyperlink" Target="https://www.digikey.com/en/products/detail/bourns-inc/SRN8040-2R2Y/2756174" TargetMode="External"/><Relationship Id="rId1" Type="http://schemas.openxmlformats.org/officeDocument/2006/relationships/hyperlink" Target="https://www.digikey.com/en/products/detail/vishay-siliconix/SIR426DP-T1-GE3/2408527" TargetMode="External"/><Relationship Id="rId2" Type="http://schemas.openxmlformats.org/officeDocument/2006/relationships/hyperlink" Target="https://www.digikey.com/en/products/detail/onsemi/BAT54CLT3G/1792157?s=N4IgTCBcDaIEIEEAqBWALAYQDYBcDMA5iALoC%2BQA" TargetMode="External"/><Relationship Id="rId3" Type="http://schemas.openxmlformats.org/officeDocument/2006/relationships/hyperlink" Target="https://www.digikey.com/en/products/detail/vishay-dale/WSL2010R0100FEA18/712518" TargetMode="External"/><Relationship Id="rId4" Type="http://schemas.openxmlformats.org/officeDocument/2006/relationships/hyperlink" Target="https://www.mouser.com/ProductDetail/Vishay-Dale/IHLP2525CZER3R3MA1?qs=ROh%252BA47s9d1%252BbNZuCM0reg%3D%3D" TargetMode="External"/><Relationship Id="rId9" Type="http://schemas.openxmlformats.org/officeDocument/2006/relationships/hyperlink" Target="https://www.digikey.com/en/products/detail/kemet/C0603C104K4RAC7411/8570360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digikey.com/en/products/detail/murata-electronics/GRM32ER7YA106KA12L/2039041?s=N4IgTCBcDaIOICUCyBmMBRBB2AmgQQEYAGANgGlCwAZEAXQF8g" TargetMode="External"/><Relationship Id="rId6" Type="http://schemas.openxmlformats.org/officeDocument/2006/relationships/hyperlink" Target="https://www.mouser.com/ProductDetail/TDK/CGA5L3X7R1H225K160AB?qs=NRhsANhppD8gvgY8df5YXQ%3D%3D" TargetMode="External"/><Relationship Id="rId7" Type="http://schemas.openxmlformats.org/officeDocument/2006/relationships/hyperlink" Target="https://www.digikey.com/en/products/detail/kemet/C1206C105K4RACTU/411529" TargetMode="External"/><Relationship Id="rId8" Type="http://schemas.openxmlformats.org/officeDocument/2006/relationships/hyperlink" Target="https://www.digikey.com/en/products/detail/murata-electronics/GRM32ER71H105KA01L/7363051" TargetMode="External"/><Relationship Id="rId11" Type="http://schemas.openxmlformats.org/officeDocument/2006/relationships/hyperlink" Target="https://www.digikey.com/en/products/detail/kemet/C0603C104K5RACTU/1465594" TargetMode="External"/><Relationship Id="rId10" Type="http://schemas.openxmlformats.org/officeDocument/2006/relationships/hyperlink" Target="https://www.digikey.com/en/products/detail/murata-electronics/DE11XRB220KN4AR01F/8024678" TargetMode="External"/><Relationship Id="rId13" Type="http://schemas.openxmlformats.org/officeDocument/2006/relationships/hyperlink" Target="https://www.digikey.com/en/products/detail/susumu/RR0816P-304-D/432244?s=N4IgTCBcDaIEpwAwA4CMA2ACgWgMyIBZsARAHQBcQBdAXyA" TargetMode="External"/><Relationship Id="rId12" Type="http://schemas.openxmlformats.org/officeDocument/2006/relationships/hyperlink" Target="https://www.digikey.com/en/products/detail/susumu/RR0816P-104-D/432233?s=N4IgTCBcDaIEpwAwA4CMA2ACgWlYgLNgCIA6ALueSALoC%2BQA" TargetMode="External"/><Relationship Id="rId15" Type="http://schemas.openxmlformats.org/officeDocument/2006/relationships/hyperlink" Target="https://www.digikey.com/en/products/detail/stackpole-electronics-inc/RMCF0402FT9K31/1761618" TargetMode="External"/><Relationship Id="rId14" Type="http://schemas.openxmlformats.org/officeDocument/2006/relationships/hyperlink" Target="https://www.digikey.com/en/products/detail/susumu/RR0816P-154-D/432237?s=N4IgTCBcDaIEpwAwA4CMA2ACgWlQVgBZsARAHQBcQBdAXyA" TargetMode="External"/><Relationship Id="rId17" Type="http://schemas.openxmlformats.org/officeDocument/2006/relationships/hyperlink" Target="https://www.digikey.com/en/products/detail/stackpole-electronics-inc/RMCF2512JT2R00/1757010" TargetMode="External"/><Relationship Id="rId16" Type="http://schemas.openxmlformats.org/officeDocument/2006/relationships/hyperlink" Target="https://www.digikey.com/en/products/detail/yageo/RC0402FR-07442KL/726612" TargetMode="External"/><Relationship Id="rId19" Type="http://schemas.openxmlformats.org/officeDocument/2006/relationships/hyperlink" Target="https://www.digikey.com/en/products/detail/susumu/RR0816P-101-D/432161" TargetMode="External"/><Relationship Id="rId18" Type="http://schemas.openxmlformats.org/officeDocument/2006/relationships/hyperlink" Target="https://www.digikey.com/en/products/detail/venkel/CR0603-16W-103JT/1232682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2"/>
      <c r="C1" s="3" t="s">
        <v>1</v>
      </c>
      <c r="D1" s="1" t="s">
        <v>2</v>
      </c>
      <c r="E1" s="4"/>
      <c r="F1" s="4"/>
      <c r="G1" s="4"/>
      <c r="H1" s="2"/>
    </row>
    <row r="2">
      <c r="A2" s="5" t="s">
        <v>3</v>
      </c>
      <c r="B2" s="6" t="s">
        <v>4</v>
      </c>
      <c r="C2" s="7">
        <v>2.0</v>
      </c>
      <c r="D2" s="7" t="s">
        <v>5</v>
      </c>
      <c r="E2" s="8"/>
      <c r="F2" s="8"/>
      <c r="G2" s="8"/>
      <c r="H2" s="9"/>
    </row>
    <row r="3">
      <c r="A3" s="10" t="s">
        <v>6</v>
      </c>
      <c r="B3" s="11" t="s">
        <v>7</v>
      </c>
      <c r="C3" s="12">
        <v>1.0</v>
      </c>
      <c r="D3" s="12" t="s">
        <v>8</v>
      </c>
      <c r="H3" s="13"/>
    </row>
    <row r="4">
      <c r="A4" s="10" t="s">
        <v>9</v>
      </c>
      <c r="B4" s="12"/>
      <c r="C4" s="12">
        <v>1.0</v>
      </c>
      <c r="D4" s="12" t="s">
        <v>10</v>
      </c>
    </row>
    <row r="5">
      <c r="A5" s="10" t="s">
        <v>11</v>
      </c>
      <c r="B5" s="14" t="s">
        <v>12</v>
      </c>
      <c r="C5" s="12">
        <v>2.0</v>
      </c>
      <c r="D5" s="12" t="s">
        <v>13</v>
      </c>
      <c r="H5" s="15"/>
    </row>
    <row r="6">
      <c r="A6" s="10" t="s">
        <v>14</v>
      </c>
      <c r="B6" s="11" t="s">
        <v>15</v>
      </c>
      <c r="C6" s="12">
        <v>1.0</v>
      </c>
      <c r="D6" s="12" t="s">
        <v>16</v>
      </c>
      <c r="H6" s="13"/>
    </row>
    <row r="7">
      <c r="A7" s="10" t="s">
        <v>17</v>
      </c>
      <c r="B7" s="11" t="s">
        <v>18</v>
      </c>
      <c r="C7" s="12">
        <v>4.0</v>
      </c>
      <c r="D7" s="12" t="s">
        <v>19</v>
      </c>
      <c r="H7" s="13"/>
    </row>
    <row r="8">
      <c r="A8" s="10" t="s">
        <v>20</v>
      </c>
      <c r="B8" s="11" t="s">
        <v>21</v>
      </c>
      <c r="C8" s="12">
        <v>1.0</v>
      </c>
      <c r="D8" s="12" t="s">
        <v>22</v>
      </c>
      <c r="H8" s="13"/>
    </row>
    <row r="9">
      <c r="A9" s="10" t="s">
        <v>23</v>
      </c>
      <c r="B9" s="14" t="s">
        <v>24</v>
      </c>
      <c r="C9" s="12">
        <v>2.0</v>
      </c>
      <c r="D9" s="12" t="s">
        <v>25</v>
      </c>
      <c r="H9" s="13"/>
    </row>
    <row r="10">
      <c r="A10" s="10" t="s">
        <v>26</v>
      </c>
      <c r="B10" s="11" t="s">
        <v>27</v>
      </c>
      <c r="C10" s="12">
        <v>1.0</v>
      </c>
      <c r="D10" s="12" t="s">
        <v>28</v>
      </c>
      <c r="H10" s="13"/>
    </row>
    <row r="11">
      <c r="A11" s="10" t="s">
        <v>29</v>
      </c>
      <c r="B11" s="11" t="s">
        <v>30</v>
      </c>
      <c r="C11" s="12">
        <v>4.0</v>
      </c>
      <c r="D11" s="12" t="s">
        <v>31</v>
      </c>
      <c r="H11" s="13"/>
    </row>
    <row r="12">
      <c r="A12" s="16" t="s">
        <v>32</v>
      </c>
      <c r="B12" s="11" t="s">
        <v>33</v>
      </c>
      <c r="C12" s="12">
        <v>1.0</v>
      </c>
      <c r="D12" s="12" t="s">
        <v>34</v>
      </c>
      <c r="H12" s="13"/>
    </row>
    <row r="13">
      <c r="A13" s="10" t="s">
        <v>35</v>
      </c>
      <c r="B13" s="11" t="s">
        <v>36</v>
      </c>
      <c r="C13" s="12">
        <v>1.0</v>
      </c>
      <c r="D13" s="12" t="s">
        <v>37</v>
      </c>
      <c r="H13" s="13"/>
    </row>
    <row r="14">
      <c r="A14" s="10" t="s">
        <v>38</v>
      </c>
      <c r="B14" s="11" t="s">
        <v>39</v>
      </c>
      <c r="C14" s="12">
        <v>2.0</v>
      </c>
      <c r="D14" s="12" t="s">
        <v>40</v>
      </c>
      <c r="H14" s="13"/>
    </row>
    <row r="15">
      <c r="A15" s="10" t="s">
        <v>41</v>
      </c>
      <c r="B15" s="11" t="s">
        <v>42</v>
      </c>
      <c r="C15" s="12">
        <v>1.0</v>
      </c>
      <c r="D15" s="12" t="s">
        <v>43</v>
      </c>
      <c r="H15" s="13"/>
    </row>
    <row r="16">
      <c r="A16" s="10" t="s">
        <v>44</v>
      </c>
      <c r="B16" s="11" t="s">
        <v>45</v>
      </c>
      <c r="C16" s="12">
        <v>1.0</v>
      </c>
      <c r="D16" s="12" t="s">
        <v>46</v>
      </c>
      <c r="H16" s="13"/>
    </row>
    <row r="17">
      <c r="A17" s="10" t="s">
        <v>47</v>
      </c>
      <c r="B17" s="11" t="s">
        <v>48</v>
      </c>
      <c r="C17" s="12">
        <v>1.0</v>
      </c>
      <c r="D17" s="12" t="s">
        <v>49</v>
      </c>
      <c r="H17" s="15"/>
    </row>
    <row r="18">
      <c r="A18" s="10" t="s">
        <v>50</v>
      </c>
      <c r="B18" s="11" t="s">
        <v>51</v>
      </c>
      <c r="C18" s="12">
        <v>1.0</v>
      </c>
      <c r="D18" s="12" t="s">
        <v>52</v>
      </c>
      <c r="H18" s="15"/>
    </row>
    <row r="19">
      <c r="A19" s="10" t="s">
        <v>53</v>
      </c>
      <c r="B19" s="11" t="s">
        <v>54</v>
      </c>
      <c r="C19" s="12">
        <v>1.0</v>
      </c>
      <c r="D19" s="12" t="s">
        <v>55</v>
      </c>
      <c r="H19" s="15"/>
    </row>
    <row r="20">
      <c r="A20" s="10" t="s">
        <v>56</v>
      </c>
      <c r="B20" s="11" t="s">
        <v>57</v>
      </c>
      <c r="C20" s="12">
        <v>2.0</v>
      </c>
      <c r="D20" s="12" t="s">
        <v>58</v>
      </c>
      <c r="H20" s="15"/>
    </row>
    <row r="21">
      <c r="A21" s="10" t="s">
        <v>59</v>
      </c>
      <c r="B21" s="11" t="s">
        <v>60</v>
      </c>
      <c r="C21" s="12">
        <v>1.0</v>
      </c>
      <c r="D21" s="12" t="s">
        <v>61</v>
      </c>
      <c r="H21" s="15"/>
    </row>
    <row r="22">
      <c r="A22" s="10" t="s">
        <v>62</v>
      </c>
      <c r="B22" s="11" t="s">
        <v>63</v>
      </c>
      <c r="C22" s="12">
        <v>1.0</v>
      </c>
      <c r="D22" s="12" t="s">
        <v>64</v>
      </c>
      <c r="H22" s="13"/>
    </row>
    <row r="23">
      <c r="A23" s="10" t="s">
        <v>65</v>
      </c>
      <c r="C23" s="12">
        <v>2.0</v>
      </c>
      <c r="D23" s="12" t="s">
        <v>66</v>
      </c>
      <c r="H23" s="15"/>
    </row>
    <row r="24">
      <c r="A24" s="17" t="s">
        <v>67</v>
      </c>
      <c r="B24" s="18"/>
      <c r="C24" s="19">
        <v>1.0</v>
      </c>
      <c r="D24" s="19" t="s">
        <v>68</v>
      </c>
      <c r="E24" s="18"/>
      <c r="F24" s="18"/>
      <c r="G24" s="18"/>
      <c r="H24" s="20"/>
      <c r="J24" s="14" t="s">
        <v>69</v>
      </c>
      <c r="N24" s="12" t="s">
        <v>70</v>
      </c>
    </row>
    <row r="25">
      <c r="C25" s="21">
        <f>SUM(C2:C24)</f>
        <v>35</v>
      </c>
    </row>
    <row r="26">
      <c r="A26" s="5" t="s">
        <v>71</v>
      </c>
      <c r="B26" s="22"/>
      <c r="C26" s="7">
        <v>1.0</v>
      </c>
      <c r="D26" s="7" t="s">
        <v>72</v>
      </c>
      <c r="E26" s="22"/>
      <c r="F26" s="22"/>
      <c r="G26" s="22"/>
      <c r="H26" s="23"/>
    </row>
    <row r="27">
      <c r="A27" s="10" t="s">
        <v>73</v>
      </c>
      <c r="C27" s="12">
        <v>2.0</v>
      </c>
      <c r="D27" s="12" t="s">
        <v>74</v>
      </c>
      <c r="H27" s="24"/>
    </row>
    <row r="28">
      <c r="A28" s="10" t="s">
        <v>75</v>
      </c>
      <c r="C28" s="12">
        <v>1.0</v>
      </c>
      <c r="D28" s="25" t="s">
        <v>76</v>
      </c>
      <c r="H28" s="15"/>
      <c r="I28" s="26"/>
    </row>
    <row r="29">
      <c r="A29" s="10" t="s">
        <v>77</v>
      </c>
      <c r="C29" s="12">
        <v>1.0</v>
      </c>
      <c r="D29" s="27" t="s">
        <v>78</v>
      </c>
      <c r="E29" s="26"/>
      <c r="F29" s="26"/>
      <c r="G29" s="26"/>
      <c r="H29" s="15"/>
    </row>
    <row r="30">
      <c r="A30" s="28"/>
      <c r="B30" s="18"/>
      <c r="C30" s="19">
        <v>1.0</v>
      </c>
      <c r="D30" s="19" t="s">
        <v>79</v>
      </c>
      <c r="E30" s="18"/>
      <c r="F30" s="18"/>
      <c r="G30" s="18"/>
      <c r="H30" s="20"/>
    </row>
    <row r="32">
      <c r="A32" s="5" t="s">
        <v>80</v>
      </c>
      <c r="B32" s="7" t="s">
        <v>81</v>
      </c>
      <c r="C32" s="7" t="s">
        <v>82</v>
      </c>
      <c r="D32" s="7" t="s">
        <v>83</v>
      </c>
      <c r="E32" s="7" t="s">
        <v>84</v>
      </c>
      <c r="F32" s="7" t="s">
        <v>85</v>
      </c>
      <c r="G32" s="7" t="s">
        <v>2</v>
      </c>
      <c r="H32" s="22"/>
      <c r="I32" s="22"/>
      <c r="J32" s="22"/>
      <c r="K32" s="23"/>
    </row>
    <row r="33">
      <c r="A33" s="10" t="s">
        <v>86</v>
      </c>
      <c r="B33" s="12" t="s">
        <v>87</v>
      </c>
      <c r="C33" s="12" t="s">
        <v>88</v>
      </c>
      <c r="D33" s="12">
        <v>1.0</v>
      </c>
      <c r="E33" s="12">
        <v>0.01</v>
      </c>
      <c r="F33" s="12">
        <v>4.68</v>
      </c>
      <c r="G33" s="12" t="s">
        <v>89</v>
      </c>
      <c r="K33" s="15"/>
    </row>
    <row r="34">
      <c r="A34" s="10" t="s">
        <v>90</v>
      </c>
      <c r="B34" s="12" t="s">
        <v>87</v>
      </c>
      <c r="C34" s="12" t="s">
        <v>91</v>
      </c>
      <c r="D34" s="12">
        <v>1.0</v>
      </c>
      <c r="E34" s="12">
        <v>0.01</v>
      </c>
      <c r="F34" s="12">
        <v>4.68</v>
      </c>
      <c r="G34" s="12" t="s">
        <v>92</v>
      </c>
      <c r="K34" s="15"/>
    </row>
    <row r="35">
      <c r="A35" s="10" t="s">
        <v>93</v>
      </c>
      <c r="B35" s="12" t="s">
        <v>94</v>
      </c>
      <c r="C35" s="12" t="s">
        <v>95</v>
      </c>
      <c r="D35" s="12">
        <v>1.0</v>
      </c>
      <c r="E35" s="12">
        <v>0.01</v>
      </c>
      <c r="F35" s="12">
        <v>3.0</v>
      </c>
      <c r="G35" s="12" t="s">
        <v>96</v>
      </c>
      <c r="K35" s="15"/>
    </row>
    <row r="36">
      <c r="A36" s="10" t="s">
        <v>97</v>
      </c>
      <c r="B36" s="12" t="s">
        <v>94</v>
      </c>
      <c r="C36" s="12" t="s">
        <v>98</v>
      </c>
      <c r="D36" s="12">
        <v>1.0</v>
      </c>
      <c r="E36" s="12">
        <v>0.01</v>
      </c>
      <c r="F36" s="12">
        <v>3.0</v>
      </c>
      <c r="G36" s="12" t="s">
        <v>99</v>
      </c>
      <c r="K36" s="15"/>
    </row>
    <row r="37">
      <c r="A37" s="10" t="s">
        <v>100</v>
      </c>
      <c r="B37" s="12" t="s">
        <v>94</v>
      </c>
      <c r="C37" s="12" t="s">
        <v>101</v>
      </c>
      <c r="D37" s="12">
        <v>1.0</v>
      </c>
      <c r="E37" s="12">
        <v>0.01</v>
      </c>
      <c r="F37" s="12">
        <v>4.68</v>
      </c>
      <c r="G37" s="12" t="s">
        <v>102</v>
      </c>
      <c r="K37" s="15"/>
    </row>
    <row r="38">
      <c r="A38" s="10" t="s">
        <v>103</v>
      </c>
      <c r="B38" s="12" t="s">
        <v>104</v>
      </c>
      <c r="C38" s="12" t="s">
        <v>105</v>
      </c>
      <c r="D38" s="12">
        <v>2.0</v>
      </c>
      <c r="E38" s="12">
        <v>0.14369</v>
      </c>
      <c r="F38" s="12">
        <v>6.75</v>
      </c>
      <c r="G38" s="12" t="s">
        <v>106</v>
      </c>
      <c r="K38" s="15"/>
    </row>
    <row r="39">
      <c r="A39" s="10" t="s">
        <v>107</v>
      </c>
      <c r="B39" s="12" t="s">
        <v>108</v>
      </c>
      <c r="C39" s="12" t="s">
        <v>109</v>
      </c>
      <c r="D39" s="12">
        <v>1.0</v>
      </c>
      <c r="E39" s="12">
        <v>0.63</v>
      </c>
      <c r="F39" s="12">
        <v>54.45</v>
      </c>
      <c r="G39" s="12" t="s">
        <v>110</v>
      </c>
      <c r="K39" s="15"/>
    </row>
    <row r="40">
      <c r="A40" s="10" t="s">
        <v>111</v>
      </c>
      <c r="B40" s="12" t="s">
        <v>112</v>
      </c>
      <c r="C40" s="12" t="s">
        <v>113</v>
      </c>
      <c r="D40" s="12">
        <v>1.0</v>
      </c>
      <c r="E40" s="12">
        <v>0.322</v>
      </c>
      <c r="F40" s="12">
        <v>7.5</v>
      </c>
      <c r="K40" s="15"/>
    </row>
    <row r="41">
      <c r="A41" s="10" t="s">
        <v>114</v>
      </c>
      <c r="B41" s="12" t="s">
        <v>104</v>
      </c>
      <c r="C41" s="12" t="s">
        <v>115</v>
      </c>
      <c r="D41" s="12">
        <v>1.0</v>
      </c>
      <c r="E41" s="12">
        <v>0.01</v>
      </c>
      <c r="F41" s="12">
        <v>4.68</v>
      </c>
      <c r="G41" s="12" t="s">
        <v>116</v>
      </c>
      <c r="K41" s="15"/>
    </row>
    <row r="42">
      <c r="A42" s="10" t="s">
        <v>117</v>
      </c>
      <c r="B42" s="12" t="s">
        <v>104</v>
      </c>
      <c r="C42" s="12" t="s">
        <v>118</v>
      </c>
      <c r="D42" s="12">
        <v>4.0</v>
      </c>
      <c r="E42" s="12">
        <v>0.09</v>
      </c>
      <c r="F42" s="12">
        <v>6.75</v>
      </c>
      <c r="G42" s="12" t="s">
        <v>119</v>
      </c>
      <c r="K42" s="15"/>
    </row>
    <row r="43">
      <c r="A43" s="10" t="s">
        <v>120</v>
      </c>
      <c r="B43" s="12" t="s">
        <v>94</v>
      </c>
      <c r="C43" s="12" t="s">
        <v>121</v>
      </c>
      <c r="D43" s="12">
        <v>1.0</v>
      </c>
      <c r="E43" s="12">
        <v>0.02</v>
      </c>
      <c r="F43" s="12">
        <v>4.68</v>
      </c>
      <c r="G43" s="12" t="s">
        <v>122</v>
      </c>
      <c r="K43" s="15"/>
    </row>
    <row r="44">
      <c r="A44" s="17" t="s">
        <v>123</v>
      </c>
      <c r="B44" s="19" t="s">
        <v>124</v>
      </c>
      <c r="C44" s="19" t="s">
        <v>125</v>
      </c>
      <c r="D44" s="19">
        <v>1.0</v>
      </c>
      <c r="E44" s="19">
        <v>0.01</v>
      </c>
      <c r="F44" s="19">
        <v>2.08</v>
      </c>
      <c r="G44" s="19" t="s">
        <v>126</v>
      </c>
      <c r="H44" s="18"/>
      <c r="I44" s="18"/>
      <c r="J44" s="18"/>
      <c r="K44" s="20"/>
    </row>
    <row r="45">
      <c r="A45" s="14" t="s">
        <v>127</v>
      </c>
    </row>
    <row r="46">
      <c r="A46" s="29" t="s">
        <v>128</v>
      </c>
      <c r="B46" s="30" t="s">
        <v>129</v>
      </c>
      <c r="C46" s="30" t="s">
        <v>130</v>
      </c>
      <c r="D46" s="31">
        <v>1.0</v>
      </c>
      <c r="E46" s="31">
        <v>0.01</v>
      </c>
      <c r="F46" s="31">
        <v>6.75</v>
      </c>
      <c r="G46" s="30" t="s">
        <v>131</v>
      </c>
      <c r="H46" s="30"/>
      <c r="I46" s="30"/>
      <c r="J46" s="30"/>
      <c r="K46" s="32"/>
    </row>
    <row r="47">
      <c r="A47" s="33" t="s">
        <v>103</v>
      </c>
      <c r="B47" s="34" t="s">
        <v>104</v>
      </c>
      <c r="C47" s="34" t="s">
        <v>132</v>
      </c>
      <c r="D47" s="35">
        <v>2.0</v>
      </c>
      <c r="E47" s="35">
        <v>0.09498</v>
      </c>
      <c r="F47" s="35">
        <v>6.75</v>
      </c>
      <c r="G47" s="34" t="s">
        <v>133</v>
      </c>
      <c r="H47" s="34"/>
      <c r="I47" s="34"/>
      <c r="J47" s="34"/>
      <c r="K47" s="36"/>
    </row>
    <row r="48">
      <c r="A48" s="33" t="s">
        <v>117</v>
      </c>
      <c r="B48" s="34" t="s">
        <v>94</v>
      </c>
      <c r="C48" s="34" t="s">
        <v>134</v>
      </c>
      <c r="D48" s="35">
        <v>3.0</v>
      </c>
      <c r="E48" s="35">
        <v>0.04</v>
      </c>
      <c r="F48" s="35">
        <v>4.68</v>
      </c>
      <c r="G48" s="34" t="s">
        <v>135</v>
      </c>
      <c r="H48" s="34"/>
      <c r="I48" s="34"/>
      <c r="J48" s="34"/>
      <c r="K48" s="36"/>
    </row>
    <row r="49">
      <c r="A49" s="37" t="s">
        <v>136</v>
      </c>
      <c r="B49" s="34" t="s">
        <v>124</v>
      </c>
      <c r="C49" s="34" t="s">
        <v>137</v>
      </c>
      <c r="D49" s="35">
        <v>1.0</v>
      </c>
      <c r="E49" s="35">
        <v>0.22</v>
      </c>
      <c r="F49" s="35">
        <v>113.42</v>
      </c>
      <c r="G49" s="34" t="s">
        <v>138</v>
      </c>
      <c r="H49" s="34"/>
      <c r="I49" s="34"/>
      <c r="J49" s="38" t="s">
        <v>139</v>
      </c>
      <c r="K49" s="36"/>
    </row>
    <row r="50">
      <c r="A50" s="37" t="s">
        <v>140</v>
      </c>
      <c r="B50" s="34" t="s">
        <v>87</v>
      </c>
      <c r="C50" s="34" t="s">
        <v>141</v>
      </c>
      <c r="D50" s="35">
        <v>1.0</v>
      </c>
      <c r="E50" s="35">
        <v>0.01</v>
      </c>
      <c r="F50" s="35">
        <v>2.08</v>
      </c>
      <c r="G50" s="34" t="s">
        <v>142</v>
      </c>
      <c r="H50" s="34"/>
      <c r="I50" s="34"/>
      <c r="J50" s="34"/>
      <c r="K50" s="36"/>
    </row>
    <row r="51">
      <c r="A51" s="37" t="s">
        <v>143</v>
      </c>
      <c r="B51" s="34" t="s">
        <v>144</v>
      </c>
      <c r="C51" s="34" t="s">
        <v>145</v>
      </c>
      <c r="D51" s="35">
        <v>1.0</v>
      </c>
      <c r="E51" s="35">
        <v>0.01</v>
      </c>
      <c r="F51" s="35">
        <v>3.0</v>
      </c>
      <c r="G51" s="34" t="s">
        <v>146</v>
      </c>
      <c r="H51" s="34"/>
      <c r="I51" s="34"/>
      <c r="J51" s="34"/>
      <c r="K51" s="36"/>
    </row>
    <row r="52">
      <c r="A52" s="39" t="s">
        <v>147</v>
      </c>
      <c r="B52" s="40" t="s">
        <v>112</v>
      </c>
      <c r="C52" s="40" t="s">
        <v>148</v>
      </c>
      <c r="D52" s="41">
        <v>1.0</v>
      </c>
      <c r="E52" s="41">
        <v>0.342</v>
      </c>
      <c r="F52" s="41">
        <v>10.14</v>
      </c>
      <c r="G52" s="40"/>
      <c r="H52" s="40"/>
      <c r="I52" s="40"/>
      <c r="J52" s="40"/>
      <c r="K52" s="42"/>
    </row>
    <row r="53">
      <c r="A53" s="14" t="s">
        <v>149</v>
      </c>
    </row>
    <row r="54">
      <c r="C54" s="43"/>
    </row>
  </sheetData>
  <mergeCells count="18">
    <mergeCell ref="A1:B1"/>
    <mergeCell ref="D1:H1"/>
    <mergeCell ref="D2:H2"/>
    <mergeCell ref="D3:H3"/>
    <mergeCell ref="D4:H4"/>
    <mergeCell ref="D6:H6"/>
    <mergeCell ref="D7:H7"/>
    <mergeCell ref="D15:H15"/>
    <mergeCell ref="D16:H16"/>
    <mergeCell ref="D22:H22"/>
    <mergeCell ref="D28:G28"/>
    <mergeCell ref="D8:H8"/>
    <mergeCell ref="D9:H9"/>
    <mergeCell ref="D10:H10"/>
    <mergeCell ref="D11:H11"/>
    <mergeCell ref="D12:H12"/>
    <mergeCell ref="D13:H13"/>
    <mergeCell ref="D14:H14"/>
  </mergeCells>
  <hyperlinks>
    <hyperlink r:id="rId1" ref="B2"/>
    <hyperlink r:id="rId2" ref="B3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J24"/>
    <hyperlink r:id="rId22" ref="A45"/>
    <hyperlink r:id="rId23" ref="J49"/>
    <hyperlink r:id="rId24" ref="A53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